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OneDrive\Desktop\Alignment &amp; Survey Program\Alignment Direction\VBA\"/>
    </mc:Choice>
  </mc:AlternateContent>
  <xr:revisionPtr revIDLastSave="0" documentId="13_ncr:1_{340219B5-897C-46CA-9504-50C82F18FC70}" xr6:coauthVersionLast="47" xr6:coauthVersionMax="47" xr10:uidLastSave="{00000000-0000-0000-0000-000000000000}"/>
  <bookViews>
    <workbookView xWindow="-108" yWindow="-108" windowWidth="23256" windowHeight="12456" xr2:uid="{1E80080D-5CCE-4627-B710-7C5D7F231B84}"/>
  </bookViews>
  <sheets>
    <sheet name="Main Pro.-Track AL" sheetId="46" r:id="rId1"/>
    <sheet name="Main Pro.-Tunnel AL" sheetId="48" r:id="rId2"/>
    <sheet name="HOR-ARRAY" sheetId="42" r:id="rId3"/>
    <sheet name="VER-ARRAY" sheetId="43" r:id="rId4"/>
    <sheet name="CANT-ARRAY" sheetId="45" r:id="rId5"/>
    <sheet name="TUA-ARRAY" sheetId="44" r:id="rId6"/>
  </sheets>
  <functionGroups builtInGroupCount="19"/>
  <definedNames>
    <definedName name="CANT_ARRAY">'CANT-ARRAY'!$D$5:$I$64</definedName>
    <definedName name="HOR_ARRAY">'HOR-ARRAY'!$D$5:$K$64</definedName>
    <definedName name="TUA_ARRAY">'TUA-ARRAY'!$D$5:$L$64</definedName>
    <definedName name="VER_ARRAY">'VER-ARRAY'!$D$5:$M$26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4" i="45" l="1"/>
  <c r="F64" i="45"/>
  <c r="D64" i="45"/>
  <c r="H63" i="45"/>
  <c r="F63" i="45"/>
  <c r="D63" i="45"/>
  <c r="H62" i="45"/>
  <c r="F62" i="45"/>
  <c r="D62" i="45"/>
  <c r="D61" i="45" s="1"/>
  <c r="D60" i="45" s="1"/>
  <c r="D59" i="45" s="1"/>
  <c r="D58" i="45" s="1"/>
  <c r="D57" i="45" s="1"/>
  <c r="D56" i="45" s="1"/>
  <c r="D55" i="45" s="1"/>
  <c r="D54" i="45" s="1"/>
  <c r="D53" i="45" s="1"/>
  <c r="D52" i="45" s="1"/>
  <c r="D51" i="45" s="1"/>
  <c r="D50" i="45" s="1"/>
  <c r="D49" i="45" s="1"/>
  <c r="D48" i="45" s="1"/>
  <c r="D47" i="45" s="1"/>
  <c r="D46" i="45" s="1"/>
  <c r="D45" i="45" s="1"/>
  <c r="D44" i="45" s="1"/>
  <c r="D43" i="45" s="1"/>
  <c r="D42" i="45" s="1"/>
  <c r="D41" i="45" s="1"/>
  <c r="D40" i="45" s="1"/>
  <c r="D39" i="45" s="1"/>
  <c r="D38" i="45" s="1"/>
  <c r="D37" i="45" s="1"/>
  <c r="D36" i="45" s="1"/>
  <c r="D35" i="45" s="1"/>
  <c r="D34" i="45" s="1"/>
  <c r="D33" i="45" s="1"/>
  <c r="D32" i="45" s="1"/>
  <c r="D31" i="45" s="1"/>
  <c r="D30" i="45" s="1"/>
  <c r="D29" i="45" s="1"/>
  <c r="D28" i="45" s="1"/>
  <c r="D27" i="45" s="1"/>
  <c r="D26" i="45" s="1"/>
  <c r="D25" i="45" s="1"/>
  <c r="D24" i="45" s="1"/>
  <c r="D23" i="45" s="1"/>
  <c r="D22" i="45" s="1"/>
  <c r="D21" i="45" s="1"/>
  <c r="D20" i="45" s="1"/>
  <c r="D19" i="45" s="1"/>
  <c r="D18" i="45" s="1"/>
  <c r="D17" i="45" s="1"/>
  <c r="D16" i="45" s="1"/>
  <c r="D15" i="45" s="1"/>
  <c r="D14" i="45" s="1"/>
  <c r="D13" i="45" s="1"/>
  <c r="D12" i="45" s="1"/>
  <c r="D11" i="45" s="1"/>
  <c r="D10" i="45" s="1"/>
  <c r="D9" i="45" s="1"/>
  <c r="D8" i="45" s="1"/>
  <c r="D7" i="45" s="1"/>
  <c r="D6" i="45" s="1"/>
  <c r="D5" i="45" s="1"/>
  <c r="H61" i="45"/>
  <c r="F61" i="45"/>
  <c r="H60" i="45"/>
  <c r="F60" i="45"/>
  <c r="H59" i="45"/>
  <c r="F59" i="45"/>
  <c r="H58" i="45"/>
  <c r="F58" i="45"/>
  <c r="H57" i="45"/>
  <c r="F57" i="45"/>
  <c r="H56" i="45"/>
  <c r="F56" i="45"/>
  <c r="H55" i="45"/>
  <c r="F55" i="45"/>
  <c r="H54" i="45"/>
  <c r="F54" i="45"/>
  <c r="H53" i="45"/>
  <c r="F53" i="45"/>
  <c r="H52" i="45"/>
  <c r="F52" i="45"/>
  <c r="H51" i="45"/>
  <c r="F51" i="45"/>
  <c r="H50" i="45"/>
  <c r="F50" i="45"/>
  <c r="H49" i="45"/>
  <c r="F49" i="45"/>
  <c r="H48" i="45"/>
  <c r="F48" i="45"/>
  <c r="H47" i="45"/>
  <c r="F47" i="45"/>
  <c r="H46" i="45"/>
  <c r="F46" i="45"/>
  <c r="H45" i="45"/>
  <c r="F45" i="45"/>
  <c r="H44" i="45"/>
  <c r="F44" i="45"/>
  <c r="H43" i="45"/>
  <c r="F43" i="45"/>
  <c r="H42" i="45"/>
  <c r="F42" i="45"/>
  <c r="H41" i="45"/>
  <c r="F41" i="45"/>
  <c r="H40" i="45"/>
  <c r="F40" i="45"/>
  <c r="H39" i="45"/>
  <c r="F39" i="45"/>
  <c r="H38" i="45"/>
  <c r="F38" i="45"/>
  <c r="H37" i="45"/>
  <c r="F37" i="45"/>
  <c r="H36" i="45"/>
  <c r="F36" i="45"/>
  <c r="H35" i="45"/>
  <c r="F35" i="45"/>
  <c r="H34" i="45"/>
  <c r="F34" i="45"/>
  <c r="H33" i="45"/>
  <c r="F33" i="45"/>
  <c r="H32" i="45"/>
  <c r="F32" i="45"/>
  <c r="H31" i="45"/>
  <c r="F31" i="45"/>
  <c r="H30" i="45"/>
  <c r="F30" i="45"/>
  <c r="H29" i="45"/>
  <c r="F29" i="45"/>
  <c r="H28" i="45"/>
  <c r="F28" i="45"/>
  <c r="H27" i="45"/>
  <c r="F27" i="45"/>
  <c r="H26" i="45"/>
  <c r="F26" i="45"/>
  <c r="H25" i="45"/>
  <c r="F25" i="45"/>
  <c r="H24" i="45"/>
  <c r="F24" i="45"/>
  <c r="H23" i="45"/>
  <c r="F23" i="45"/>
  <c r="H22" i="45"/>
  <c r="F22" i="45"/>
  <c r="H21" i="45"/>
  <c r="F21" i="45"/>
  <c r="H20" i="45"/>
  <c r="F20" i="45"/>
  <c r="H19" i="45"/>
  <c r="F19" i="45"/>
  <c r="H18" i="45"/>
  <c r="F18" i="45"/>
  <c r="H17" i="45"/>
  <c r="F17" i="45"/>
  <c r="H16" i="45"/>
  <c r="F16" i="45"/>
  <c r="H15" i="45"/>
  <c r="F15" i="45"/>
  <c r="H14" i="45"/>
  <c r="F14" i="45"/>
  <c r="H13" i="45"/>
  <c r="F13" i="45"/>
  <c r="H12" i="45"/>
  <c r="F12" i="45"/>
  <c r="H11" i="45"/>
  <c r="F11" i="45"/>
  <c r="H10" i="45"/>
  <c r="F10" i="45"/>
  <c r="H9" i="45"/>
  <c r="F9" i="45"/>
  <c r="H8" i="45"/>
  <c r="F8" i="45"/>
  <c r="H7" i="45"/>
  <c r="F7" i="45"/>
  <c r="H6" i="45"/>
  <c r="F6" i="45"/>
  <c r="H5" i="45"/>
  <c r="F5" i="45"/>
  <c r="J64" i="44"/>
  <c r="H64" i="44"/>
  <c r="F64" i="44"/>
  <c r="D64" i="44"/>
  <c r="J63" i="44"/>
  <c r="H63" i="44"/>
  <c r="F63" i="44"/>
  <c r="D63" i="44"/>
  <c r="D62" i="44" s="1"/>
  <c r="D61" i="44" s="1"/>
  <c r="D60" i="44" s="1"/>
  <c r="D59" i="44" s="1"/>
  <c r="D58" i="44" s="1"/>
  <c r="D57" i="44" s="1"/>
  <c r="D56" i="44" s="1"/>
  <c r="D55" i="44" s="1"/>
  <c r="D54" i="44" s="1"/>
  <c r="D53" i="44" s="1"/>
  <c r="D52" i="44" s="1"/>
  <c r="D51" i="44" s="1"/>
  <c r="D50" i="44" s="1"/>
  <c r="D49" i="44" s="1"/>
  <c r="D48" i="44" s="1"/>
  <c r="D47" i="44" s="1"/>
  <c r="D46" i="44" s="1"/>
  <c r="D45" i="44" s="1"/>
  <c r="D44" i="44" s="1"/>
  <c r="D43" i="44" s="1"/>
  <c r="D42" i="44" s="1"/>
  <c r="D41" i="44" s="1"/>
  <c r="D40" i="44" s="1"/>
  <c r="D39" i="44" s="1"/>
  <c r="D38" i="44" s="1"/>
  <c r="D37" i="44" s="1"/>
  <c r="D36" i="44" s="1"/>
  <c r="D35" i="44" s="1"/>
  <c r="D34" i="44" s="1"/>
  <c r="D33" i="44" s="1"/>
  <c r="D32" i="44" s="1"/>
  <c r="D31" i="44" s="1"/>
  <c r="D30" i="44" s="1"/>
  <c r="D29" i="44" s="1"/>
  <c r="D28" i="44" s="1"/>
  <c r="D27" i="44" s="1"/>
  <c r="D26" i="44" s="1"/>
  <c r="D25" i="44" s="1"/>
  <c r="D24" i="44" s="1"/>
  <c r="D23" i="44" s="1"/>
  <c r="D22" i="44" s="1"/>
  <c r="D21" i="44" s="1"/>
  <c r="D20" i="44" s="1"/>
  <c r="D19" i="44" s="1"/>
  <c r="D18" i="44" s="1"/>
  <c r="D17" i="44" s="1"/>
  <c r="D16" i="44" s="1"/>
  <c r="D15" i="44" s="1"/>
  <c r="D14" i="44" s="1"/>
  <c r="D13" i="44" s="1"/>
  <c r="D12" i="44" s="1"/>
  <c r="D11" i="44" s="1"/>
  <c r="D10" i="44" s="1"/>
  <c r="D9" i="44" s="1"/>
  <c r="D8" i="44" s="1"/>
  <c r="D7" i="44" s="1"/>
  <c r="D6" i="44" s="1"/>
  <c r="D5" i="44" s="1"/>
  <c r="J62" i="44"/>
  <c r="H62" i="44"/>
  <c r="F62" i="44"/>
  <c r="J61" i="44"/>
  <c r="H61" i="44"/>
  <c r="F61" i="44"/>
  <c r="J60" i="44"/>
  <c r="H60" i="44"/>
  <c r="F60" i="44"/>
  <c r="J59" i="44"/>
  <c r="H59" i="44"/>
  <c r="F59" i="44"/>
  <c r="J58" i="44"/>
  <c r="H58" i="44"/>
  <c r="F58" i="44"/>
  <c r="J57" i="44"/>
  <c r="H57" i="44"/>
  <c r="F57" i="44"/>
  <c r="J56" i="44"/>
  <c r="H56" i="44"/>
  <c r="F56" i="44"/>
  <c r="J55" i="44"/>
  <c r="H55" i="44"/>
  <c r="F55" i="44"/>
  <c r="J54" i="44"/>
  <c r="H54" i="44"/>
  <c r="F54" i="44"/>
  <c r="J53" i="44"/>
  <c r="H53" i="44"/>
  <c r="F53" i="44"/>
  <c r="J52" i="44"/>
  <c r="H52" i="44"/>
  <c r="F52" i="44"/>
  <c r="J51" i="44"/>
  <c r="H51" i="44"/>
  <c r="F51" i="44"/>
  <c r="J50" i="44"/>
  <c r="H50" i="44"/>
  <c r="F50" i="44"/>
  <c r="J49" i="44"/>
  <c r="H49" i="44"/>
  <c r="F49" i="44"/>
  <c r="J48" i="44"/>
  <c r="H48" i="44"/>
  <c r="F48" i="44"/>
  <c r="J47" i="44"/>
  <c r="H47" i="44"/>
  <c r="F47" i="44"/>
  <c r="J46" i="44"/>
  <c r="H46" i="44"/>
  <c r="F46" i="44"/>
  <c r="J45" i="44"/>
  <c r="H45" i="44"/>
  <c r="F45" i="44"/>
  <c r="J44" i="44"/>
  <c r="H44" i="44"/>
  <c r="F44" i="44"/>
  <c r="J43" i="44"/>
  <c r="H43" i="44"/>
  <c r="F43" i="44"/>
  <c r="J42" i="44"/>
  <c r="H42" i="44"/>
  <c r="F42" i="44"/>
  <c r="J41" i="44"/>
  <c r="H41" i="44"/>
  <c r="F41" i="44"/>
  <c r="J40" i="44"/>
  <c r="H40" i="44"/>
  <c r="F40" i="44"/>
  <c r="J39" i="44"/>
  <c r="H39" i="44"/>
  <c r="F39" i="44"/>
  <c r="J38" i="44"/>
  <c r="H38" i="44"/>
  <c r="F38" i="44"/>
  <c r="J37" i="44"/>
  <c r="H37" i="44"/>
  <c r="F37" i="44"/>
  <c r="J36" i="44"/>
  <c r="H36" i="44"/>
  <c r="F36" i="44"/>
  <c r="J35" i="44"/>
  <c r="H35" i="44"/>
  <c r="F35" i="44"/>
  <c r="J34" i="44"/>
  <c r="H34" i="44"/>
  <c r="F34" i="44"/>
  <c r="J33" i="44"/>
  <c r="H33" i="44"/>
  <c r="F33" i="44"/>
  <c r="J32" i="44"/>
  <c r="H32" i="44"/>
  <c r="F32" i="44"/>
  <c r="J31" i="44"/>
  <c r="H31" i="44"/>
  <c r="F31" i="44"/>
  <c r="J30" i="44"/>
  <c r="H30" i="44"/>
  <c r="F30" i="44"/>
  <c r="J29" i="44"/>
  <c r="H29" i="44"/>
  <c r="F29" i="44"/>
  <c r="J28" i="44"/>
  <c r="H28" i="44"/>
  <c r="F28" i="44"/>
  <c r="J27" i="44"/>
  <c r="H27" i="44"/>
  <c r="F27" i="44"/>
  <c r="J26" i="44"/>
  <c r="H26" i="44"/>
  <c r="F26" i="44"/>
  <c r="J25" i="44"/>
  <c r="H25" i="44"/>
  <c r="F25" i="44"/>
  <c r="J24" i="44"/>
  <c r="H24" i="44"/>
  <c r="F24" i="44"/>
  <c r="J23" i="44"/>
  <c r="H23" i="44"/>
  <c r="F23" i="44"/>
  <c r="J22" i="44"/>
  <c r="H22" i="44"/>
  <c r="F22" i="44"/>
  <c r="J21" i="44"/>
  <c r="H21" i="44"/>
  <c r="F21" i="44"/>
  <c r="J20" i="44"/>
  <c r="H20" i="44"/>
  <c r="F20" i="44"/>
  <c r="J19" i="44"/>
  <c r="H19" i="44"/>
  <c r="F19" i="44"/>
  <c r="J18" i="44"/>
  <c r="H18" i="44"/>
  <c r="F18" i="44"/>
  <c r="J17" i="44"/>
  <c r="H17" i="44"/>
  <c r="F17" i="44"/>
  <c r="J16" i="44"/>
  <c r="H16" i="44"/>
  <c r="F16" i="44"/>
  <c r="J15" i="44"/>
  <c r="H15" i="44"/>
  <c r="F15" i="44"/>
  <c r="J14" i="44"/>
  <c r="H14" i="44"/>
  <c r="F14" i="44"/>
  <c r="J13" i="44"/>
  <c r="H13" i="44"/>
  <c r="F13" i="44"/>
  <c r="J12" i="44"/>
  <c r="H12" i="44"/>
  <c r="F12" i="44"/>
  <c r="J11" i="44"/>
  <c r="H11" i="44"/>
  <c r="F11" i="44"/>
  <c r="J10" i="44"/>
  <c r="H10" i="44"/>
  <c r="F10" i="44"/>
  <c r="J9" i="44"/>
  <c r="H9" i="44"/>
  <c r="F9" i="44"/>
  <c r="J8" i="44"/>
  <c r="H8" i="44"/>
  <c r="F8" i="44"/>
  <c r="J7" i="44"/>
  <c r="H7" i="44"/>
  <c r="F7" i="44"/>
  <c r="J6" i="44"/>
  <c r="H6" i="44"/>
  <c r="F6" i="44"/>
  <c r="J5" i="44"/>
  <c r="H5" i="44"/>
  <c r="F5" i="44"/>
  <c r="F26" i="43"/>
  <c r="D26" i="43"/>
  <c r="F25" i="43"/>
  <c r="D25" i="43"/>
  <c r="F24" i="43"/>
  <c r="D24" i="43"/>
  <c r="F23" i="43"/>
  <c r="D23" i="43"/>
  <c r="D22" i="43" s="1"/>
  <c r="D21" i="43" s="1"/>
  <c r="D20" i="43" s="1"/>
  <c r="D19" i="43" s="1"/>
  <c r="D18" i="43" s="1"/>
  <c r="D17" i="43" s="1"/>
  <c r="D16" i="43" s="1"/>
  <c r="D15" i="43" s="1"/>
  <c r="D14" i="43" s="1"/>
  <c r="D13" i="43" s="1"/>
  <c r="D12" i="43" s="1"/>
  <c r="D11" i="43" s="1"/>
  <c r="D10" i="43" s="1"/>
  <c r="D9" i="43" s="1"/>
  <c r="D8" i="43" s="1"/>
  <c r="D7" i="43" s="1"/>
  <c r="D6" i="43" s="1"/>
  <c r="D5" i="43" s="1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64" i="42"/>
  <c r="D64" i="42"/>
  <c r="F63" i="42"/>
  <c r="D63" i="42"/>
  <c r="D62" i="42" s="1"/>
  <c r="D61" i="42" s="1"/>
  <c r="D60" i="42" s="1"/>
  <c r="D59" i="42" s="1"/>
  <c r="D58" i="42" s="1"/>
  <c r="D57" i="42" s="1"/>
  <c r="D56" i="42" s="1"/>
  <c r="D55" i="42" s="1"/>
  <c r="D54" i="42" s="1"/>
  <c r="D53" i="42" s="1"/>
  <c r="D52" i="42" s="1"/>
  <c r="D51" i="42" s="1"/>
  <c r="D50" i="42" s="1"/>
  <c r="D49" i="42" s="1"/>
  <c r="D48" i="42" s="1"/>
  <c r="D47" i="42" s="1"/>
  <c r="D46" i="42" s="1"/>
  <c r="D45" i="42" s="1"/>
  <c r="D44" i="42" s="1"/>
  <c r="D43" i="42" s="1"/>
  <c r="D42" i="42" s="1"/>
  <c r="D41" i="42" s="1"/>
  <c r="D40" i="42" s="1"/>
  <c r="D39" i="42" s="1"/>
  <c r="D38" i="42" s="1"/>
  <c r="D37" i="42" s="1"/>
  <c r="D36" i="42" s="1"/>
  <c r="D35" i="42" s="1"/>
  <c r="D34" i="42" s="1"/>
  <c r="D33" i="42" s="1"/>
  <c r="D32" i="42" s="1"/>
  <c r="D31" i="42" s="1"/>
  <c r="D30" i="42" s="1"/>
  <c r="D29" i="42" s="1"/>
  <c r="D28" i="42" s="1"/>
  <c r="D27" i="42" s="1"/>
  <c r="D26" i="42" s="1"/>
  <c r="D25" i="42" s="1"/>
  <c r="D24" i="42" s="1"/>
  <c r="D23" i="42" s="1"/>
  <c r="D22" i="42" s="1"/>
  <c r="D21" i="42" s="1"/>
  <c r="D20" i="42" s="1"/>
  <c r="D19" i="42" s="1"/>
  <c r="D18" i="42" s="1"/>
  <c r="D17" i="42" s="1"/>
  <c r="D16" i="42" s="1"/>
  <c r="D15" i="42" s="1"/>
  <c r="D14" i="42" s="1"/>
  <c r="D13" i="42" s="1"/>
  <c r="D12" i="42" s="1"/>
  <c r="D11" i="42" s="1"/>
  <c r="D10" i="42" s="1"/>
  <c r="D9" i="42" s="1"/>
  <c r="D8" i="42" s="1"/>
  <c r="D7" i="42" s="1"/>
  <c r="D6" i="42" s="1"/>
  <c r="D5" i="42" s="1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F6" i="42"/>
  <c r="F5" i="42"/>
  <c r="K93" i="46"/>
  <c r="K121" i="48"/>
  <c r="E48" i="48"/>
  <c r="J58" i="46"/>
  <c r="E160" i="48"/>
  <c r="J106" i="46"/>
  <c r="H105" i="46"/>
  <c r="K9" i="48"/>
  <c r="I73" i="46"/>
  <c r="H130" i="46"/>
  <c r="I114" i="46"/>
  <c r="I46" i="46"/>
  <c r="J72" i="46"/>
  <c r="J12" i="46"/>
  <c r="D70" i="48"/>
  <c r="G129" i="46"/>
  <c r="H84" i="46"/>
  <c r="H71" i="46"/>
  <c r="E129" i="46"/>
  <c r="K66" i="46"/>
  <c r="H42" i="46"/>
  <c r="J122" i="48"/>
  <c r="H57" i="46"/>
  <c r="E39" i="46"/>
  <c r="I30" i="46"/>
  <c r="J85" i="46"/>
  <c r="E100" i="46"/>
  <c r="J55" i="48"/>
  <c r="J73" i="48"/>
  <c r="E77" i="48"/>
  <c r="G40" i="46"/>
  <c r="E146" i="48"/>
  <c r="G112" i="46"/>
  <c r="K135" i="48"/>
  <c r="E37" i="46"/>
  <c r="G92" i="46"/>
  <c r="F60" i="46"/>
  <c r="E111" i="48"/>
  <c r="E16" i="46"/>
  <c r="G39" i="46"/>
  <c r="H63" i="46"/>
  <c r="E83" i="46"/>
  <c r="J130" i="48"/>
  <c r="G131" i="46"/>
  <c r="D114" i="48"/>
  <c r="E107" i="48"/>
  <c r="E41" i="46"/>
  <c r="J51" i="46"/>
  <c r="J16" i="46"/>
  <c r="E76" i="46"/>
  <c r="K23" i="46"/>
  <c r="E19" i="46"/>
  <c r="I74" i="46"/>
  <c r="E44" i="46"/>
  <c r="G29" i="46"/>
  <c r="E164" i="48"/>
  <c r="F62" i="46"/>
  <c r="H118" i="46"/>
  <c r="D142" i="48"/>
  <c r="J19" i="46"/>
  <c r="E109" i="48"/>
  <c r="E43" i="48"/>
  <c r="K18" i="46"/>
  <c r="D59" i="48"/>
  <c r="J116" i="48"/>
  <c r="K44" i="46"/>
  <c r="K25" i="46"/>
  <c r="K56" i="48"/>
  <c r="K101" i="48"/>
  <c r="K13" i="46"/>
  <c r="D27" i="48"/>
  <c r="D65" i="48"/>
  <c r="D150" i="48"/>
  <c r="G94" i="46"/>
  <c r="I59" i="46"/>
  <c r="I87" i="46"/>
  <c r="K75" i="48"/>
  <c r="H15" i="46"/>
  <c r="J56" i="46"/>
  <c r="D156" i="48"/>
  <c r="J43" i="46"/>
  <c r="G38" i="46"/>
  <c r="K24" i="48"/>
  <c r="J74" i="46"/>
  <c r="E114" i="46"/>
  <c r="G156" i="48"/>
  <c r="K72" i="48"/>
  <c r="E86" i="48"/>
  <c r="J102" i="46"/>
  <c r="F131" i="46"/>
  <c r="D138" i="48"/>
  <c r="K157" i="48"/>
  <c r="E50" i="48"/>
  <c r="F40" i="46"/>
  <c r="J133" i="48"/>
  <c r="J104" i="46"/>
  <c r="J9" i="46"/>
  <c r="H116" i="46"/>
  <c r="D50" i="48"/>
  <c r="D126" i="48"/>
  <c r="G58" i="46"/>
  <c r="J141" i="48"/>
  <c r="D113" i="48"/>
  <c r="J90" i="48"/>
  <c r="K79" i="48"/>
  <c r="I91" i="46"/>
  <c r="F23" i="46"/>
  <c r="K31" i="46"/>
  <c r="G97" i="46"/>
  <c r="I105" i="46"/>
  <c r="F79" i="46"/>
  <c r="I13" i="46"/>
  <c r="H29" i="46"/>
  <c r="J75" i="48"/>
  <c r="J38" i="46"/>
  <c r="I129" i="46"/>
  <c r="J125" i="48"/>
  <c r="F72" i="46"/>
  <c r="K126" i="48"/>
  <c r="K57" i="46"/>
  <c r="E29" i="46"/>
  <c r="I47" i="46"/>
  <c r="K152" i="48"/>
  <c r="E86" i="46"/>
  <c r="K79" i="46"/>
  <c r="K12" i="46"/>
  <c r="J92" i="48"/>
  <c r="J95" i="48"/>
  <c r="D20" i="48"/>
  <c r="K99" i="46"/>
  <c r="J59" i="46"/>
  <c r="J37" i="46"/>
  <c r="E93" i="48"/>
  <c r="E97" i="48"/>
  <c r="K119" i="46"/>
  <c r="E40" i="48"/>
  <c r="J106" i="48"/>
  <c r="E138" i="48"/>
  <c r="K59" i="48"/>
  <c r="F49" i="46"/>
  <c r="F104" i="46"/>
  <c r="E120" i="48"/>
  <c r="J22" i="48"/>
  <c r="E85" i="48"/>
  <c r="E82" i="48"/>
  <c r="G109" i="46"/>
  <c r="E127" i="46"/>
  <c r="K119" i="48"/>
  <c r="K38" i="48"/>
  <c r="J55" i="46"/>
  <c r="J9" i="48"/>
  <c r="D68" i="48"/>
  <c r="J93" i="48"/>
  <c r="E124" i="48"/>
  <c r="F41" i="46"/>
  <c r="E73" i="46"/>
  <c r="J50" i="48"/>
  <c r="K92" i="48"/>
  <c r="E121" i="48"/>
  <c r="D46" i="48"/>
  <c r="F101" i="46"/>
  <c r="J146" i="48"/>
  <c r="J137" i="48"/>
  <c r="K126" i="46"/>
  <c r="F115" i="46"/>
  <c r="I118" i="46"/>
  <c r="F59" i="46"/>
  <c r="D133" i="48"/>
  <c r="D91" i="48"/>
  <c r="D58" i="48"/>
  <c r="E153" i="48"/>
  <c r="E18" i="48"/>
  <c r="E60" i="46"/>
  <c r="J51" i="48"/>
  <c r="K50" i="48"/>
  <c r="F19" i="46"/>
  <c r="I49" i="46"/>
  <c r="J27" i="46"/>
  <c r="F126" i="46"/>
  <c r="E52" i="48"/>
  <c r="E15" i="46"/>
  <c r="E17" i="48"/>
  <c r="K137" i="48"/>
  <c r="J95" i="46"/>
  <c r="E60" i="48"/>
  <c r="D64" i="48"/>
  <c r="K8" i="48"/>
  <c r="E48" i="46"/>
  <c r="G120" i="46"/>
  <c r="K85" i="48"/>
  <c r="E140" i="48"/>
  <c r="J15" i="48"/>
  <c r="F22" i="46"/>
  <c r="D88" i="48"/>
  <c r="G87" i="46"/>
  <c r="D36" i="48"/>
  <c r="D124" i="48"/>
  <c r="E66" i="46"/>
  <c r="H125" i="46"/>
  <c r="E8" i="48"/>
  <c r="E143" i="48"/>
  <c r="J151" i="48"/>
  <c r="H108" i="46"/>
  <c r="J86" i="46"/>
  <c r="K21" i="48"/>
  <c r="K78" i="48"/>
  <c r="H16" i="46"/>
  <c r="E154" i="48"/>
  <c r="K37" i="46"/>
  <c r="K142" i="48"/>
  <c r="I88" i="48"/>
  <c r="K151" i="48"/>
  <c r="E22" i="46"/>
  <c r="D100" i="48"/>
  <c r="F100" i="48" s="1"/>
  <c r="F95" i="46"/>
  <c r="G83" i="46"/>
  <c r="J45" i="46"/>
  <c r="J25" i="48"/>
  <c r="F103" i="46"/>
  <c r="K98" i="48"/>
  <c r="H80" i="46"/>
  <c r="E31" i="46"/>
  <c r="G51" i="46"/>
  <c r="J17" i="46"/>
  <c r="K122" i="46"/>
  <c r="K123" i="46"/>
  <c r="F114" i="46"/>
  <c r="K83" i="46"/>
  <c r="D41" i="48"/>
  <c r="H109" i="46"/>
  <c r="J7" i="48"/>
  <c r="K45" i="46"/>
  <c r="K95" i="46"/>
  <c r="K95" i="48"/>
  <c r="E10" i="46"/>
  <c r="E93" i="46"/>
  <c r="D55" i="48"/>
  <c r="H37" i="46"/>
  <c r="I9" i="46"/>
  <c r="D158" i="48"/>
  <c r="D45" i="48"/>
  <c r="H115" i="46"/>
  <c r="I48" i="46"/>
  <c r="J88" i="48"/>
  <c r="J68" i="46"/>
  <c r="D149" i="48"/>
  <c r="E105" i="46"/>
  <c r="K10" i="46"/>
  <c r="K80" i="48"/>
  <c r="D96" i="48"/>
  <c r="K9" i="46"/>
  <c r="H27" i="46"/>
  <c r="E71" i="46"/>
  <c r="K18" i="48"/>
  <c r="D102" i="48"/>
  <c r="I82" i="46"/>
  <c r="J97" i="46"/>
  <c r="E126" i="48"/>
  <c r="K106" i="46"/>
  <c r="K48" i="48"/>
  <c r="E135" i="48"/>
  <c r="I130" i="46"/>
  <c r="E156" i="48"/>
  <c r="I56" i="46"/>
  <c r="D71" i="48"/>
  <c r="H40" i="46"/>
  <c r="E110" i="46"/>
  <c r="E104" i="46"/>
  <c r="K154" i="48"/>
  <c r="K125" i="48"/>
  <c r="J164" i="48"/>
  <c r="K22" i="48"/>
  <c r="J59" i="48"/>
  <c r="K87" i="48"/>
  <c r="H56" i="46"/>
  <c r="H11" i="46"/>
  <c r="J35" i="46"/>
  <c r="H123" i="46"/>
  <c r="E11" i="46"/>
  <c r="D69" i="48"/>
  <c r="J92" i="46"/>
  <c r="J61" i="48"/>
  <c r="E141" i="48"/>
  <c r="E28" i="48"/>
  <c r="E119" i="46"/>
  <c r="G72" i="46"/>
  <c r="F102" i="46"/>
  <c r="E32" i="48"/>
  <c r="E12" i="48"/>
  <c r="K70" i="48"/>
  <c r="D83" i="48"/>
  <c r="I83" i="48" s="1"/>
  <c r="H100" i="46"/>
  <c r="H91" i="46"/>
  <c r="F70" i="46"/>
  <c r="K11" i="46"/>
  <c r="J23" i="46"/>
  <c r="F48" i="46"/>
  <c r="K8" i="46"/>
  <c r="K70" i="46"/>
  <c r="G113" i="46"/>
  <c r="I70" i="46"/>
  <c r="J15" i="46"/>
  <c r="K35" i="46"/>
  <c r="H90" i="46"/>
  <c r="E27" i="48"/>
  <c r="I89" i="46"/>
  <c r="D23" i="48"/>
  <c r="G99" i="46"/>
  <c r="K128" i="48"/>
  <c r="H106" i="46"/>
  <c r="E95" i="48"/>
  <c r="J84" i="46"/>
  <c r="D93" i="48"/>
  <c r="E137" i="48"/>
  <c r="H36" i="46"/>
  <c r="J120" i="46"/>
  <c r="J39" i="48"/>
  <c r="H59" i="46"/>
  <c r="G81" i="46"/>
  <c r="F116" i="46"/>
  <c r="J84" i="48"/>
  <c r="I27" i="48"/>
  <c r="D32" i="48"/>
  <c r="J36" i="48"/>
  <c r="E131" i="46"/>
  <c r="D97" i="48"/>
  <c r="F75" i="46"/>
  <c r="J126" i="48"/>
  <c r="H101" i="46"/>
  <c r="F150" i="48"/>
  <c r="K144" i="48"/>
  <c r="E26" i="46"/>
  <c r="K61" i="46"/>
  <c r="D48" i="48"/>
  <c r="H38" i="46"/>
  <c r="K39" i="48"/>
  <c r="H74" i="46"/>
  <c r="J39" i="46"/>
  <c r="K108" i="48"/>
  <c r="K40" i="46"/>
  <c r="F50" i="48"/>
  <c r="I81" i="46"/>
  <c r="J113" i="46"/>
  <c r="G48" i="46"/>
  <c r="J163" i="48"/>
  <c r="I112" i="46"/>
  <c r="J29" i="46"/>
  <c r="H132" i="46"/>
  <c r="D81" i="48"/>
  <c r="K27" i="46"/>
  <c r="F93" i="48"/>
  <c r="G128" i="46"/>
  <c r="K80" i="46"/>
  <c r="J28" i="46"/>
  <c r="D115" i="48"/>
  <c r="E16" i="48"/>
  <c r="E54" i="46"/>
  <c r="E89" i="48"/>
  <c r="D66" i="48"/>
  <c r="K112" i="48"/>
  <c r="I72" i="46"/>
  <c r="K15" i="46"/>
  <c r="D84" i="48"/>
  <c r="F87" i="46"/>
  <c r="F12" i="46"/>
  <c r="J132" i="48"/>
  <c r="E57" i="48"/>
  <c r="F128" i="46"/>
  <c r="K72" i="46"/>
  <c r="E13" i="48"/>
  <c r="G23" i="46"/>
  <c r="F100" i="46"/>
  <c r="K85" i="46"/>
  <c r="K84" i="48"/>
  <c r="F46" i="46"/>
  <c r="E122" i="46"/>
  <c r="K102" i="48"/>
  <c r="E64" i="48"/>
  <c r="F117" i="46"/>
  <c r="J57" i="46"/>
  <c r="D42" i="48"/>
  <c r="D8" i="48"/>
  <c r="G27" i="46"/>
  <c r="I115" i="46"/>
  <c r="J14" i="46"/>
  <c r="K82" i="46"/>
  <c r="I92" i="46"/>
  <c r="K15" i="48"/>
  <c r="G52" i="46"/>
  <c r="H126" i="46"/>
  <c r="J117" i="46"/>
  <c r="K110" i="48"/>
  <c r="H72" i="46"/>
  <c r="H60" i="46"/>
  <c r="G15" i="46"/>
  <c r="E41" i="48"/>
  <c r="G34" i="46"/>
  <c r="E43" i="46"/>
  <c r="K32" i="48"/>
  <c r="J25" i="46"/>
  <c r="E125" i="48"/>
  <c r="I63" i="46"/>
  <c r="J136" i="48"/>
  <c r="D37" i="48"/>
  <c r="E42" i="46"/>
  <c r="F38" i="46"/>
  <c r="I88" i="46"/>
  <c r="J33" i="46"/>
  <c r="G64" i="46"/>
  <c r="J32" i="46"/>
  <c r="J107" i="48"/>
  <c r="J37" i="48"/>
  <c r="J115" i="48"/>
  <c r="I83" i="46"/>
  <c r="J156" i="48"/>
  <c r="E134" i="48"/>
  <c r="E55" i="48"/>
  <c r="J11" i="46"/>
  <c r="D18" i="48"/>
  <c r="F29" i="46"/>
  <c r="G32" i="46"/>
  <c r="K29" i="48"/>
  <c r="E155" i="48"/>
  <c r="E36" i="46"/>
  <c r="F52" i="46"/>
  <c r="J105" i="46"/>
  <c r="G12" i="46"/>
  <c r="K57" i="48"/>
  <c r="E28" i="46"/>
  <c r="J116" i="46"/>
  <c r="K76" i="48"/>
  <c r="H121" i="46"/>
  <c r="G28" i="46"/>
  <c r="E68" i="48"/>
  <c r="G93" i="46"/>
  <c r="E35" i="46"/>
  <c r="I97" i="46"/>
  <c r="I36" i="46"/>
  <c r="E103" i="48"/>
  <c r="J149" i="48"/>
  <c r="E30" i="48"/>
  <c r="J105" i="48"/>
  <c r="K90" i="46"/>
  <c r="J87" i="46"/>
  <c r="K109" i="48"/>
  <c r="K35" i="48"/>
  <c r="K98" i="46"/>
  <c r="D10" i="48"/>
  <c r="E95" i="46"/>
  <c r="I71" i="48"/>
  <c r="E115" i="46"/>
  <c r="E34" i="48"/>
  <c r="I38" i="46"/>
  <c r="H30" i="46"/>
  <c r="K77" i="48"/>
  <c r="K33" i="46"/>
  <c r="F28" i="46"/>
  <c r="E65" i="48"/>
  <c r="F58" i="46"/>
  <c r="F11" i="46"/>
  <c r="J109" i="48"/>
  <c r="J90" i="46"/>
  <c r="F94" i="46"/>
  <c r="J127" i="46"/>
  <c r="F98" i="46"/>
  <c r="J152" i="48"/>
  <c r="I17" i="46"/>
  <c r="J127" i="48"/>
  <c r="J143" i="48"/>
  <c r="H119" i="46"/>
  <c r="E72" i="46"/>
  <c r="E24" i="46"/>
  <c r="E108" i="48"/>
  <c r="E33" i="46"/>
  <c r="G42" i="46"/>
  <c r="J87" i="48"/>
  <c r="G47" i="46"/>
  <c r="F27" i="46"/>
  <c r="I50" i="48"/>
  <c r="F69" i="46"/>
  <c r="H52" i="46"/>
  <c r="E94" i="46"/>
  <c r="F83" i="48"/>
  <c r="F54" i="46"/>
  <c r="E130" i="48"/>
  <c r="K117" i="48"/>
  <c r="J53" i="48"/>
  <c r="J98" i="48"/>
  <c r="I69" i="46"/>
  <c r="E106" i="48"/>
  <c r="J88" i="46"/>
  <c r="J18" i="48"/>
  <c r="K120" i="46"/>
  <c r="I78" i="46"/>
  <c r="H124" i="46"/>
  <c r="K155" i="48"/>
  <c r="J10" i="48"/>
  <c r="D33" i="48"/>
  <c r="F33" i="48" s="1"/>
  <c r="E55" i="46"/>
  <c r="J134" i="48"/>
  <c r="G41" i="46"/>
  <c r="G73" i="46"/>
  <c r="G63" i="46"/>
  <c r="H120" i="46"/>
  <c r="J21" i="46"/>
  <c r="K46" i="46"/>
  <c r="E147" i="48"/>
  <c r="I60" i="46"/>
  <c r="H68" i="46"/>
  <c r="D51" i="48"/>
  <c r="F90" i="46"/>
  <c r="F44" i="46"/>
  <c r="E88" i="46"/>
  <c r="E64" i="46"/>
  <c r="J14" i="48"/>
  <c r="I103" i="46"/>
  <c r="H98" i="46"/>
  <c r="K112" i="46"/>
  <c r="E77" i="46"/>
  <c r="E101" i="46"/>
  <c r="D162" i="48"/>
  <c r="E46" i="48"/>
  <c r="E27" i="46"/>
  <c r="J94" i="48"/>
  <c r="F123" i="46"/>
  <c r="G18" i="46"/>
  <c r="F111" i="46"/>
  <c r="I34" i="46"/>
  <c r="E132" i="46"/>
  <c r="K153" i="48"/>
  <c r="E17" i="46"/>
  <c r="E100" i="48"/>
  <c r="J24" i="46"/>
  <c r="E62" i="48"/>
  <c r="E25" i="48"/>
  <c r="E14" i="48"/>
  <c r="E83" i="48"/>
  <c r="K94" i="48"/>
  <c r="J29" i="48"/>
  <c r="G119" i="46"/>
  <c r="F129" i="46"/>
  <c r="E87" i="48"/>
  <c r="F65" i="46"/>
  <c r="G125" i="46"/>
  <c r="E39" i="48"/>
  <c r="I66" i="46"/>
  <c r="J46" i="46"/>
  <c r="K74" i="46"/>
  <c r="K41" i="46"/>
  <c r="K17" i="46"/>
  <c r="G65" i="46"/>
  <c r="E38" i="48"/>
  <c r="K91" i="46"/>
  <c r="K115" i="48"/>
  <c r="H12" i="46"/>
  <c r="K77" i="46"/>
  <c r="I156" i="48"/>
  <c r="H45" i="46"/>
  <c r="E89" i="46"/>
  <c r="K149" i="48"/>
  <c r="J158" i="48"/>
  <c r="F110" i="46"/>
  <c r="I64" i="48"/>
  <c r="D53" i="48"/>
  <c r="F81" i="46"/>
  <c r="D140" i="48"/>
  <c r="J161" i="48"/>
  <c r="J139" i="48"/>
  <c r="H122" i="46"/>
  <c r="K22" i="46"/>
  <c r="J34" i="46"/>
  <c r="D11" i="48"/>
  <c r="G70" i="46"/>
  <c r="H78" i="46"/>
  <c r="G33" i="48"/>
  <c r="F97" i="48"/>
  <c r="J75" i="46"/>
  <c r="I43" i="46"/>
  <c r="G74" i="46"/>
  <c r="D76" i="48"/>
  <c r="J63" i="48"/>
  <c r="I25" i="46"/>
  <c r="F67" i="46"/>
  <c r="K74" i="48"/>
  <c r="E9" i="48"/>
  <c r="J64" i="48"/>
  <c r="G110" i="46"/>
  <c r="G35" i="46"/>
  <c r="J7" i="46"/>
  <c r="E139" i="48"/>
  <c r="K125" i="46"/>
  <c r="I29" i="46"/>
  <c r="F32" i="48"/>
  <c r="G20" i="48"/>
  <c r="I59" i="48"/>
  <c r="H77" i="46"/>
  <c r="G45" i="48"/>
  <c r="D164" i="48"/>
  <c r="E78" i="48"/>
  <c r="J81" i="48"/>
  <c r="G121" i="46"/>
  <c r="E116" i="48"/>
  <c r="F57" i="46"/>
  <c r="G114" i="46"/>
  <c r="K97" i="46"/>
  <c r="J47" i="46"/>
  <c r="G36" i="46"/>
  <c r="K114" i="46"/>
  <c r="K28" i="48"/>
  <c r="K54" i="48"/>
  <c r="I20" i="46"/>
  <c r="D145" i="48"/>
  <c r="G106" i="46"/>
  <c r="J97" i="48"/>
  <c r="H43" i="46"/>
  <c r="D92" i="48"/>
  <c r="E70" i="48"/>
  <c r="J49" i="46"/>
  <c r="H75" i="46"/>
  <c r="F25" i="46"/>
  <c r="G55" i="46"/>
  <c r="E30" i="46"/>
  <c r="E37" i="48"/>
  <c r="I7" i="46"/>
  <c r="J77" i="46"/>
  <c r="K58" i="46"/>
  <c r="I71" i="46"/>
  <c r="H73" i="46"/>
  <c r="F13" i="46"/>
  <c r="E101" i="48"/>
  <c r="D43" i="48"/>
  <c r="J128" i="48"/>
  <c r="E163" i="48"/>
  <c r="K150" i="48"/>
  <c r="J101" i="48"/>
  <c r="K132" i="48"/>
  <c r="I62" i="46"/>
  <c r="K28" i="46"/>
  <c r="K55" i="48"/>
  <c r="E36" i="48"/>
  <c r="J69" i="48"/>
  <c r="E18" i="46"/>
  <c r="E132" i="48"/>
  <c r="G108" i="46"/>
  <c r="K116" i="48"/>
  <c r="K40" i="48"/>
  <c r="G118" i="46"/>
  <c r="K68" i="46"/>
  <c r="G9" i="46"/>
  <c r="E52" i="46"/>
  <c r="K90" i="48"/>
  <c r="J20" i="48"/>
  <c r="E34" i="46"/>
  <c r="I22" i="46"/>
  <c r="J99" i="48"/>
  <c r="E110" i="48"/>
  <c r="K71" i="48"/>
  <c r="K91" i="48"/>
  <c r="J17" i="48"/>
  <c r="J54" i="46"/>
  <c r="I108" i="46"/>
  <c r="E19" i="48"/>
  <c r="F84" i="48"/>
  <c r="D89" i="48"/>
  <c r="G89" i="48" s="1"/>
  <c r="I110" i="46"/>
  <c r="I27" i="46"/>
  <c r="D94" i="48"/>
  <c r="F94" i="48" s="1"/>
  <c r="J155" i="48"/>
  <c r="F109" i="46"/>
  <c r="E7" i="46"/>
  <c r="H67" i="46"/>
  <c r="K108" i="46"/>
  <c r="I11" i="46"/>
  <c r="E102" i="46"/>
  <c r="E51" i="46"/>
  <c r="H117" i="46"/>
  <c r="H33" i="46"/>
  <c r="J32" i="48"/>
  <c r="K109" i="46"/>
  <c r="J8" i="46"/>
  <c r="D104" i="48"/>
  <c r="K138" i="48"/>
  <c r="D17" i="48"/>
  <c r="H70" i="46"/>
  <c r="H112" i="46"/>
  <c r="K51" i="48"/>
  <c r="G51" i="48"/>
  <c r="E90" i="46"/>
  <c r="D130" i="48"/>
  <c r="I124" i="48"/>
  <c r="G84" i="46"/>
  <c r="E91" i="46"/>
  <c r="G91" i="48"/>
  <c r="E112" i="46"/>
  <c r="J104" i="48"/>
  <c r="G130" i="48"/>
  <c r="H113" i="46"/>
  <c r="G101" i="46"/>
  <c r="K53" i="48"/>
  <c r="I68" i="48"/>
  <c r="E79" i="46"/>
  <c r="K50" i="46"/>
  <c r="F119" i="46"/>
  <c r="J45" i="48"/>
  <c r="I106" i="46"/>
  <c r="I42" i="48"/>
  <c r="D75" i="48"/>
  <c r="F71" i="46"/>
  <c r="K33" i="48"/>
  <c r="G98" i="46"/>
  <c r="D116" i="48"/>
  <c r="E59" i="48"/>
  <c r="K127" i="48"/>
  <c r="K122" i="48"/>
  <c r="J30" i="48"/>
  <c r="G104" i="48"/>
  <c r="F86" i="46"/>
  <c r="E145" i="48"/>
  <c r="D95" i="48"/>
  <c r="H19" i="46"/>
  <c r="F85" i="46"/>
  <c r="F115" i="48"/>
  <c r="E57" i="46"/>
  <c r="J122" i="46"/>
  <c r="G126" i="48"/>
  <c r="D137" i="48"/>
  <c r="D49" i="48"/>
  <c r="G42" i="48"/>
  <c r="J129" i="46"/>
  <c r="K107" i="46"/>
  <c r="K136" i="48"/>
  <c r="J41" i="46"/>
  <c r="E69" i="48"/>
  <c r="E118" i="46"/>
  <c r="K83" i="48"/>
  <c r="H92" i="46"/>
  <c r="K66" i="48"/>
  <c r="D118" i="48"/>
  <c r="F118" i="48" s="1"/>
  <c r="E53" i="48"/>
  <c r="E123" i="48"/>
  <c r="K19" i="48"/>
  <c r="D14" i="48"/>
  <c r="F96" i="48"/>
  <c r="G10" i="46"/>
  <c r="G53" i="48"/>
  <c r="E58" i="48"/>
  <c r="H65" i="46"/>
  <c r="K124" i="48"/>
  <c r="K42" i="46"/>
  <c r="J101" i="46"/>
  <c r="H21" i="46"/>
  <c r="G67" i="46"/>
  <c r="D152" i="48"/>
  <c r="K158" i="48"/>
  <c r="G130" i="46"/>
  <c r="D153" i="48"/>
  <c r="D161" i="48"/>
  <c r="K13" i="48"/>
  <c r="D61" i="48"/>
  <c r="D134" i="48"/>
  <c r="J108" i="48"/>
  <c r="J30" i="46"/>
  <c r="E56" i="46"/>
  <c r="I21" i="46"/>
  <c r="G8" i="48"/>
  <c r="J98" i="46"/>
  <c r="E82" i="46"/>
  <c r="J114" i="46"/>
  <c r="J160" i="48"/>
  <c r="J159" i="48"/>
  <c r="G100" i="46"/>
  <c r="K54" i="46"/>
  <c r="K27" i="48"/>
  <c r="D99" i="48"/>
  <c r="K88" i="48"/>
  <c r="E10" i="48"/>
  <c r="K147" i="48"/>
  <c r="J147" i="48"/>
  <c r="K47" i="46"/>
  <c r="K86" i="46"/>
  <c r="I28" i="46"/>
  <c r="K73" i="46"/>
  <c r="D56" i="48"/>
  <c r="F56" i="48" s="1"/>
  <c r="K52" i="46"/>
  <c r="H128" i="46"/>
  <c r="J96" i="48"/>
  <c r="E74" i="48"/>
  <c r="J74" i="48"/>
  <c r="E96" i="46"/>
  <c r="J131" i="46"/>
  <c r="I44" i="46"/>
  <c r="I102" i="46"/>
  <c r="E148" i="48"/>
  <c r="I10" i="48"/>
  <c r="I45" i="46"/>
  <c r="I55" i="46"/>
  <c r="E78" i="46"/>
  <c r="K34" i="46"/>
  <c r="D159" i="48"/>
  <c r="D79" i="48"/>
  <c r="E75" i="48"/>
  <c r="K164" i="48"/>
  <c r="K63" i="46"/>
  <c r="I54" i="46"/>
  <c r="G71" i="48"/>
  <c r="F50" i="46"/>
  <c r="F32" i="46"/>
  <c r="F27" i="48"/>
  <c r="J71" i="48"/>
  <c r="J103" i="46"/>
  <c r="K96" i="46"/>
  <c r="F47" i="46"/>
  <c r="J129" i="48"/>
  <c r="D135" i="48"/>
  <c r="F135" i="48" s="1"/>
  <c r="J58" i="48"/>
  <c r="K75" i="46"/>
  <c r="F37" i="48"/>
  <c r="G61" i="46"/>
  <c r="E96" i="48"/>
  <c r="K23" i="48"/>
  <c r="K17" i="48"/>
  <c r="G86" i="46"/>
  <c r="D7" i="48"/>
  <c r="G78" i="46"/>
  <c r="J34" i="48"/>
  <c r="J142" i="48"/>
  <c r="J66" i="46"/>
  <c r="E92" i="48"/>
  <c r="J138" i="48"/>
  <c r="J53" i="46"/>
  <c r="H89" i="46"/>
  <c r="K115" i="46"/>
  <c r="I17" i="48"/>
  <c r="J119" i="46"/>
  <c r="H49" i="46"/>
  <c r="G76" i="46"/>
  <c r="J23" i="48"/>
  <c r="K62" i="48"/>
  <c r="D39" i="48"/>
  <c r="E109" i="46"/>
  <c r="F76" i="46"/>
  <c r="K156" i="48"/>
  <c r="K92" i="46"/>
  <c r="D60" i="48"/>
  <c r="J13" i="48"/>
  <c r="E67" i="46"/>
  <c r="J162" i="48"/>
  <c r="J52" i="46"/>
  <c r="E69" i="46"/>
  <c r="H131" i="46"/>
  <c r="I135" i="48"/>
  <c r="G95" i="46"/>
  <c r="J118" i="48"/>
  <c r="I80" i="46"/>
  <c r="H87" i="46"/>
  <c r="E75" i="46"/>
  <c r="D132" i="48"/>
  <c r="I93" i="46"/>
  <c r="G53" i="46"/>
  <c r="E63" i="46"/>
  <c r="H99" i="46"/>
  <c r="I65" i="48"/>
  <c r="G111" i="46"/>
  <c r="F66" i="48"/>
  <c r="G44" i="46"/>
  <c r="F21" i="46"/>
  <c r="G18" i="48"/>
  <c r="F56" i="46"/>
  <c r="K60" i="48"/>
  <c r="F9" i="46"/>
  <c r="J78" i="46"/>
  <c r="F17" i="46"/>
  <c r="D155" i="48"/>
  <c r="H39" i="46"/>
  <c r="J71" i="46"/>
  <c r="I90" i="46"/>
  <c r="G11" i="46"/>
  <c r="H8" i="46"/>
  <c r="J57" i="48"/>
  <c r="D122" i="48"/>
  <c r="G122" i="48" s="1"/>
  <c r="E72" i="48"/>
  <c r="I37" i="46"/>
  <c r="F80" i="46"/>
  <c r="D129" i="48"/>
  <c r="I129" i="48" s="1"/>
  <c r="E61" i="48"/>
  <c r="K118" i="48"/>
  <c r="K117" i="46"/>
  <c r="K61" i="48"/>
  <c r="G25" i="46"/>
  <c r="H25" i="46"/>
  <c r="K39" i="46"/>
  <c r="K10" i="48"/>
  <c r="I96" i="46"/>
  <c r="D15" i="48"/>
  <c r="F45" i="46"/>
  <c r="K30" i="48"/>
  <c r="J131" i="48"/>
  <c r="E123" i="46"/>
  <c r="H34" i="46"/>
  <c r="G68" i="46"/>
  <c r="J85" i="48"/>
  <c r="E116" i="46"/>
  <c r="E129" i="48"/>
  <c r="G46" i="46"/>
  <c r="F66" i="46"/>
  <c r="E118" i="48"/>
  <c r="K105" i="48"/>
  <c r="K29" i="46"/>
  <c r="K159" i="48"/>
  <c r="J157" i="48"/>
  <c r="F20" i="48"/>
  <c r="K89" i="48"/>
  <c r="J144" i="48"/>
  <c r="D87" i="48"/>
  <c r="F36" i="46"/>
  <c r="F124" i="46"/>
  <c r="G24" i="46"/>
  <c r="I12" i="46"/>
  <c r="F97" i="46"/>
  <c r="E87" i="46"/>
  <c r="E113" i="46"/>
  <c r="F82" i="46"/>
  <c r="F156" i="48"/>
  <c r="K103" i="48"/>
  <c r="K11" i="48"/>
  <c r="E76" i="48"/>
  <c r="K53" i="46"/>
  <c r="G10" i="48"/>
  <c r="I98" i="46"/>
  <c r="I126" i="48"/>
  <c r="F113" i="46"/>
  <c r="I41" i="48"/>
  <c r="F149" i="48"/>
  <c r="I57" i="46"/>
  <c r="J49" i="48"/>
  <c r="I84" i="46"/>
  <c r="J67" i="46"/>
  <c r="I93" i="48"/>
  <c r="J86" i="48"/>
  <c r="H129" i="46"/>
  <c r="G155" i="48"/>
  <c r="E79" i="48"/>
  <c r="J66" i="48"/>
  <c r="F134" i="48"/>
  <c r="E29" i="48"/>
  <c r="I99" i="46"/>
  <c r="K97" i="48"/>
  <c r="I20" i="48"/>
  <c r="E73" i="48"/>
  <c r="H79" i="46"/>
  <c r="H82" i="46"/>
  <c r="K56" i="46"/>
  <c r="J76" i="46"/>
  <c r="D105" i="48"/>
  <c r="F105" i="48" s="1"/>
  <c r="E23" i="48"/>
  <c r="K19" i="46"/>
  <c r="G96" i="48"/>
  <c r="J80" i="48"/>
  <c r="J52" i="48"/>
  <c r="E7" i="48"/>
  <c r="G80" i="46"/>
  <c r="D21" i="48"/>
  <c r="E99" i="46"/>
  <c r="K49" i="48"/>
  <c r="K34" i="48"/>
  <c r="I18" i="48"/>
  <c r="E63" i="48"/>
  <c r="E115" i="48"/>
  <c r="E94" i="48"/>
  <c r="E114" i="48"/>
  <c r="I96" i="48"/>
  <c r="K129" i="48"/>
  <c r="I128" i="46"/>
  <c r="I132" i="46"/>
  <c r="D57" i="48"/>
  <c r="E70" i="46"/>
  <c r="F132" i="48"/>
  <c r="K145" i="48"/>
  <c r="J40" i="48"/>
  <c r="I76" i="48"/>
  <c r="F51" i="46"/>
  <c r="E113" i="48"/>
  <c r="E13" i="46"/>
  <c r="K69" i="48"/>
  <c r="F99" i="48"/>
  <c r="I140" i="48"/>
  <c r="I164" i="48"/>
  <c r="J120" i="48"/>
  <c r="G99" i="48"/>
  <c r="K48" i="46"/>
  <c r="G62" i="46"/>
  <c r="G115" i="46"/>
  <c r="J118" i="46"/>
  <c r="E131" i="48"/>
  <c r="I58" i="48"/>
  <c r="J11" i="48"/>
  <c r="J35" i="48"/>
  <c r="I127" i="46"/>
  <c r="J24" i="48"/>
  <c r="I61" i="46"/>
  <c r="D24" i="48"/>
  <c r="E61" i="46"/>
  <c r="K148" i="48"/>
  <c r="F30" i="46"/>
  <c r="E12" i="46"/>
  <c r="D12" i="48"/>
  <c r="G103" i="46"/>
  <c r="J62" i="46"/>
  <c r="G30" i="46"/>
  <c r="E54" i="48"/>
  <c r="D47" i="48"/>
  <c r="G50" i="46"/>
  <c r="E67" i="48"/>
  <c r="J108" i="46"/>
  <c r="J13" i="46"/>
  <c r="K132" i="46"/>
  <c r="E124" i="46"/>
  <c r="G117" i="46"/>
  <c r="K62" i="46"/>
  <c r="K106" i="48"/>
  <c r="H102" i="46"/>
  <c r="D86" i="48"/>
  <c r="J121" i="46"/>
  <c r="J48" i="46"/>
  <c r="J114" i="48"/>
  <c r="E71" i="48"/>
  <c r="K163" i="48"/>
  <c r="G46" i="48"/>
  <c r="E15" i="48"/>
  <c r="K32" i="46"/>
  <c r="E142" i="48"/>
  <c r="K42" i="48"/>
  <c r="J96" i="46"/>
  <c r="I125" i="46"/>
  <c r="K52" i="48"/>
  <c r="K68" i="48"/>
  <c r="F20" i="46"/>
  <c r="D127" i="48"/>
  <c r="G37" i="46"/>
  <c r="E84" i="48"/>
  <c r="J115" i="46"/>
  <c r="G82" i="46"/>
  <c r="H23" i="46"/>
  <c r="I65" i="46"/>
  <c r="E51" i="48"/>
  <c r="H114" i="46"/>
  <c r="F42" i="48"/>
  <c r="J83" i="46"/>
  <c r="E162" i="48"/>
  <c r="J83" i="48"/>
  <c r="I51" i="46"/>
  <c r="E98" i="46"/>
  <c r="K7" i="46"/>
  <c r="D120" i="48"/>
  <c r="J130" i="46"/>
  <c r="K37" i="48"/>
  <c r="D19" i="48"/>
  <c r="F19" i="48" s="1"/>
  <c r="I94" i="46"/>
  <c r="G114" i="48"/>
  <c r="G55" i="48"/>
  <c r="K104" i="48"/>
  <c r="K105" i="46"/>
  <c r="J113" i="48"/>
  <c r="I94" i="48"/>
  <c r="K139" i="48"/>
  <c r="E45" i="46"/>
  <c r="J94" i="46"/>
  <c r="I51" i="48"/>
  <c r="K67" i="48"/>
  <c r="I111" i="46"/>
  <c r="K71" i="46"/>
  <c r="E117" i="46"/>
  <c r="D85" i="48"/>
  <c r="I85" i="48" s="1"/>
  <c r="F74" i="46"/>
  <c r="J103" i="48"/>
  <c r="I15" i="46"/>
  <c r="G22" i="46"/>
  <c r="J117" i="48"/>
  <c r="I113" i="46"/>
  <c r="D117" i="48"/>
  <c r="G117" i="48" s="1"/>
  <c r="K55" i="46"/>
  <c r="F113" i="48"/>
  <c r="E98" i="48"/>
  <c r="D54" i="48"/>
  <c r="K36" i="48"/>
  <c r="G70" i="48"/>
  <c r="J126" i="46"/>
  <c r="G59" i="46"/>
  <c r="K131" i="48"/>
  <c r="G127" i="46"/>
  <c r="F18" i="46"/>
  <c r="J21" i="48"/>
  <c r="E119" i="48"/>
  <c r="F124" i="48"/>
  <c r="K134" i="48"/>
  <c r="G133" i="48"/>
  <c r="J64" i="46"/>
  <c r="J100" i="48"/>
  <c r="D22" i="48"/>
  <c r="I22" i="48" s="1"/>
  <c r="H53" i="46"/>
  <c r="K78" i="46"/>
  <c r="G7" i="46"/>
  <c r="J82" i="46"/>
  <c r="G93" i="48"/>
  <c r="F84" i="46"/>
  <c r="F155" i="48"/>
  <c r="F68" i="48"/>
  <c r="F41" i="48"/>
  <c r="G76" i="48"/>
  <c r="J26" i="46"/>
  <c r="F21" i="48"/>
  <c r="D128" i="48"/>
  <c r="F7" i="48"/>
  <c r="G68" i="48"/>
  <c r="G26" i="46"/>
  <c r="G81" i="48"/>
  <c r="K130" i="48"/>
  <c r="I89" i="48"/>
  <c r="D144" i="48"/>
  <c r="K141" i="48"/>
  <c r="D40" i="48"/>
  <c r="D34" i="48"/>
  <c r="E25" i="46"/>
  <c r="D110" i="48"/>
  <c r="K99" i="48"/>
  <c r="D30" i="48"/>
  <c r="G49" i="46"/>
  <c r="E65" i="46"/>
  <c r="H26" i="46"/>
  <c r="E47" i="46"/>
  <c r="E112" i="48"/>
  <c r="E128" i="46"/>
  <c r="K116" i="46"/>
  <c r="G122" i="46"/>
  <c r="K65" i="48"/>
  <c r="E20" i="46"/>
  <c r="I53" i="46"/>
  <c r="D163" i="48"/>
  <c r="G163" i="48" s="1"/>
  <c r="D123" i="48"/>
  <c r="H69" i="46"/>
  <c r="J78" i="48"/>
  <c r="J123" i="48"/>
  <c r="E38" i="46"/>
  <c r="E58" i="46"/>
  <c r="J99" i="46"/>
  <c r="H97" i="46"/>
  <c r="E150" i="48"/>
  <c r="F43" i="46"/>
  <c r="J12" i="48"/>
  <c r="D29" i="48"/>
  <c r="F29" i="48" s="1"/>
  <c r="K100" i="48"/>
  <c r="I53" i="48"/>
  <c r="H20" i="46"/>
  <c r="F59" i="48"/>
  <c r="D125" i="48"/>
  <c r="K128" i="46"/>
  <c r="F26" i="46"/>
  <c r="G43" i="46"/>
  <c r="G56" i="48"/>
  <c r="G104" i="46"/>
  <c r="F108" i="46"/>
  <c r="H81" i="46"/>
  <c r="F105" i="46"/>
  <c r="E128" i="48"/>
  <c r="G88" i="46"/>
  <c r="F91" i="48"/>
  <c r="K31" i="48"/>
  <c r="J43" i="48"/>
  <c r="K143" i="48"/>
  <c r="K16" i="48"/>
  <c r="E22" i="48"/>
  <c r="F23" i="48"/>
  <c r="J27" i="48"/>
  <c r="K129" i="46"/>
  <c r="F92" i="48"/>
  <c r="E158" i="48"/>
  <c r="G22" i="48"/>
  <c r="J93" i="46"/>
  <c r="K96" i="48"/>
  <c r="K69" i="46"/>
  <c r="I32" i="46"/>
  <c r="F45" i="48"/>
  <c r="F129" i="48"/>
  <c r="G125" i="48"/>
  <c r="G162" i="48"/>
  <c r="E8" i="46"/>
  <c r="G59" i="48"/>
  <c r="I23" i="48"/>
  <c r="I152" i="48"/>
  <c r="H10" i="46"/>
  <c r="J65" i="48"/>
  <c r="I121" i="46"/>
  <c r="G14" i="48"/>
  <c r="F64" i="46"/>
  <c r="I11" i="48"/>
  <c r="J110" i="48"/>
  <c r="E126" i="46"/>
  <c r="F8" i="46"/>
  <c r="I56" i="48"/>
  <c r="I86" i="48"/>
  <c r="I91" i="48"/>
  <c r="F43" i="48"/>
  <c r="G21" i="48"/>
  <c r="F69" i="48"/>
  <c r="F60" i="48"/>
  <c r="F144" i="48"/>
  <c r="G128" i="48"/>
  <c r="I23" i="46"/>
  <c r="F93" i="46"/>
  <c r="I76" i="46"/>
  <c r="H14" i="46"/>
  <c r="E84" i="46"/>
  <c r="G66" i="46"/>
  <c r="I50" i="46"/>
  <c r="E159" i="48"/>
  <c r="F42" i="46"/>
  <c r="I122" i="46"/>
  <c r="G140" i="48"/>
  <c r="J26" i="48"/>
  <c r="G113" i="48"/>
  <c r="G60" i="48"/>
  <c r="J91" i="48"/>
  <c r="F55" i="48"/>
  <c r="E127" i="48"/>
  <c r="G120" i="48"/>
  <c r="E85" i="46"/>
  <c r="G105" i="48"/>
  <c r="I79" i="46"/>
  <c r="E35" i="48"/>
  <c r="E91" i="48"/>
  <c r="K111" i="46"/>
  <c r="F158" i="48"/>
  <c r="J33" i="48"/>
  <c r="I158" i="48"/>
  <c r="K49" i="46"/>
  <c r="G95" i="48"/>
  <c r="F130" i="48"/>
  <c r="G69" i="48"/>
  <c r="J100" i="46"/>
  <c r="J69" i="46"/>
  <c r="D44" i="48"/>
  <c r="D109" i="48"/>
  <c r="K44" i="48"/>
  <c r="K47" i="48"/>
  <c r="J119" i="48"/>
  <c r="E21" i="46"/>
  <c r="I19" i="46"/>
  <c r="K107" i="48"/>
  <c r="H88" i="46"/>
  <c r="F132" i="46"/>
  <c r="I8" i="46"/>
  <c r="H41" i="46"/>
  <c r="K81" i="46"/>
  <c r="F14" i="46"/>
  <c r="I24" i="46"/>
  <c r="D52" i="48"/>
  <c r="H48" i="46"/>
  <c r="H35" i="46"/>
  <c r="J76" i="48"/>
  <c r="F35" i="46"/>
  <c r="E20" i="48"/>
  <c r="F138" i="48"/>
  <c r="K30" i="46"/>
  <c r="J82" i="48"/>
  <c r="F133" i="48"/>
  <c r="H51" i="46"/>
  <c r="E59" i="46"/>
  <c r="G8" i="46"/>
  <c r="I97" i="48"/>
  <c r="I155" i="48"/>
  <c r="I114" i="48"/>
  <c r="G85" i="48"/>
  <c r="D103" i="48"/>
  <c r="I103" i="48" s="1"/>
  <c r="I32" i="48"/>
  <c r="K21" i="46"/>
  <c r="I120" i="48"/>
  <c r="K101" i="46"/>
  <c r="K120" i="48"/>
  <c r="I116" i="48"/>
  <c r="D160" i="48"/>
  <c r="F130" i="46"/>
  <c r="K121" i="46"/>
  <c r="H62" i="46"/>
  <c r="I41" i="46"/>
  <c r="G142" i="48"/>
  <c r="E56" i="48"/>
  <c r="E81" i="48"/>
  <c r="I66" i="48"/>
  <c r="J110" i="46"/>
  <c r="K88" i="46"/>
  <c r="J132" i="46"/>
  <c r="J31" i="48"/>
  <c r="K59" i="46"/>
  <c r="I113" i="48"/>
  <c r="F16" i="46"/>
  <c r="E108" i="46"/>
  <c r="G58" i="48"/>
  <c r="I145" i="48"/>
  <c r="F51" i="48"/>
  <c r="I115" i="48"/>
  <c r="I39" i="48"/>
  <c r="F15" i="46"/>
  <c r="F126" i="48"/>
  <c r="F83" i="46"/>
  <c r="F64" i="48"/>
  <c r="G54" i="46"/>
  <c r="K20" i="46"/>
  <c r="E157" i="48"/>
  <c r="I49" i="48"/>
  <c r="K63" i="48"/>
  <c r="F53" i="48"/>
  <c r="F137" i="48"/>
  <c r="J28" i="48"/>
  <c r="G115" i="48"/>
  <c r="I42" i="46"/>
  <c r="F11" i="48"/>
  <c r="I44" i="48"/>
  <c r="G94" i="48"/>
  <c r="I134" i="48"/>
  <c r="I36" i="48"/>
  <c r="F116" i="48"/>
  <c r="F44" i="48"/>
  <c r="F87" i="48"/>
  <c r="F95" i="48"/>
  <c r="G144" i="48"/>
  <c r="G34" i="48"/>
  <c r="G87" i="48"/>
  <c r="I95" i="48"/>
  <c r="F34" i="48"/>
  <c r="H66" i="46"/>
  <c r="I126" i="46"/>
  <c r="I119" i="46"/>
  <c r="F96" i="46"/>
  <c r="E11" i="48"/>
  <c r="E49" i="48"/>
  <c r="D131" i="48"/>
  <c r="G131" i="48" s="1"/>
  <c r="J154" i="48"/>
  <c r="J22" i="46"/>
  <c r="J41" i="48"/>
  <c r="G91" i="46"/>
  <c r="F63" i="46"/>
  <c r="I21" i="48"/>
  <c r="I33" i="48"/>
  <c r="I104" i="46"/>
  <c r="F125" i="48"/>
  <c r="F164" i="48"/>
  <c r="K67" i="46"/>
  <c r="F104" i="48"/>
  <c r="G19" i="48"/>
  <c r="G19" i="46"/>
  <c r="I40" i="48"/>
  <c r="F107" i="46"/>
  <c r="J42" i="46"/>
  <c r="D139" i="48"/>
  <c r="F77" i="46"/>
  <c r="K76" i="46"/>
  <c r="D121" i="48"/>
  <c r="G44" i="48"/>
  <c r="D80" i="48"/>
  <c r="E81" i="46"/>
  <c r="G84" i="48"/>
  <c r="E117" i="48"/>
  <c r="F81" i="48"/>
  <c r="E62" i="46"/>
  <c r="F121" i="48"/>
  <c r="H58" i="46"/>
  <c r="H85" i="46"/>
  <c r="K161" i="48"/>
  <c r="I124" i="46"/>
  <c r="J10" i="46"/>
  <c r="K24" i="46"/>
  <c r="K45" i="48"/>
  <c r="D141" i="48"/>
  <c r="J70" i="46"/>
  <c r="G96" i="46"/>
  <c r="I67" i="46"/>
  <c r="J44" i="48"/>
  <c r="J79" i="48"/>
  <c r="K41" i="48"/>
  <c r="E125" i="46"/>
  <c r="I75" i="46"/>
  <c r="H107" i="46"/>
  <c r="G45" i="46"/>
  <c r="F12" i="48"/>
  <c r="K93" i="48"/>
  <c r="F53" i="46"/>
  <c r="K123" i="48"/>
  <c r="I101" i="46"/>
  <c r="F120" i="46"/>
  <c r="H76" i="46"/>
  <c r="I159" i="48"/>
  <c r="I43" i="48"/>
  <c r="K26" i="48"/>
  <c r="I117" i="46"/>
  <c r="I120" i="46"/>
  <c r="K160" i="48"/>
  <c r="K124" i="46"/>
  <c r="F78" i="46"/>
  <c r="G21" i="46"/>
  <c r="I99" i="48"/>
  <c r="J8" i="48"/>
  <c r="I58" i="46"/>
  <c r="F127" i="46"/>
  <c r="J38" i="48"/>
  <c r="K131" i="46"/>
  <c r="D38" i="48"/>
  <c r="I68" i="46"/>
  <c r="J18" i="46"/>
  <c r="D74" i="48"/>
  <c r="F74" i="48" s="1"/>
  <c r="I116" i="46"/>
  <c r="I61" i="48"/>
  <c r="D26" i="48"/>
  <c r="F33" i="46"/>
  <c r="I26" i="46"/>
  <c r="D16" i="48"/>
  <c r="E31" i="48"/>
  <c r="K81" i="48"/>
  <c r="K104" i="46"/>
  <c r="G152" i="48"/>
  <c r="G135" i="48"/>
  <c r="J46" i="48"/>
  <c r="G141" i="48"/>
  <c r="D67" i="48"/>
  <c r="I67" i="48" s="1"/>
  <c r="F61" i="48"/>
  <c r="K111" i="48"/>
  <c r="G118" i="48"/>
  <c r="E46" i="46"/>
  <c r="H110" i="46"/>
  <c r="I150" i="48"/>
  <c r="G123" i="46"/>
  <c r="I29" i="48"/>
  <c r="J67" i="48"/>
  <c r="I130" i="48"/>
  <c r="D28" i="48"/>
  <c r="H28" i="46"/>
  <c r="I104" i="48"/>
  <c r="G75" i="46"/>
  <c r="E104" i="48"/>
  <c r="F67" i="48"/>
  <c r="H7" i="46"/>
  <c r="E44" i="48"/>
  <c r="F160" i="48"/>
  <c r="F79" i="48"/>
  <c r="I132" i="48"/>
  <c r="I7" i="48"/>
  <c r="G75" i="48"/>
  <c r="J73" i="46"/>
  <c r="G89" i="46"/>
  <c r="K113" i="46"/>
  <c r="G126" i="46"/>
  <c r="H47" i="46"/>
  <c r="J62" i="48"/>
  <c r="K43" i="48"/>
  <c r="H54" i="46"/>
  <c r="F118" i="46"/>
  <c r="K46" i="48"/>
  <c r="I149" i="48"/>
  <c r="E23" i="46"/>
  <c r="G48" i="48"/>
  <c r="G103" i="48"/>
  <c r="E92" i="46"/>
  <c r="G160" i="48"/>
  <c r="G17" i="46"/>
  <c r="G123" i="48"/>
  <c r="I142" i="48"/>
  <c r="F103" i="48"/>
  <c r="H17" i="46"/>
  <c r="I10" i="46"/>
  <c r="G85" i="46"/>
  <c r="I33" i="46"/>
  <c r="K87" i="46"/>
  <c r="J140" i="48"/>
  <c r="E97" i="46"/>
  <c r="K38" i="46"/>
  <c r="E66" i="48"/>
  <c r="I92" i="48"/>
  <c r="H94" i="46"/>
  <c r="F159" i="48"/>
  <c r="F52" i="48"/>
  <c r="G97" i="48"/>
  <c r="I144" i="48"/>
  <c r="D9" i="48"/>
  <c r="K25" i="48"/>
  <c r="F7" i="46"/>
  <c r="E26" i="48"/>
  <c r="H24" i="46"/>
  <c r="J150" i="48"/>
  <c r="H111" i="46"/>
  <c r="J42" i="48"/>
  <c r="I122" i="48"/>
  <c r="K16" i="46"/>
  <c r="K64" i="46"/>
  <c r="F55" i="46"/>
  <c r="K14" i="48"/>
  <c r="G13" i="46"/>
  <c r="J19" i="48"/>
  <c r="I107" i="46"/>
  <c r="J111" i="46"/>
  <c r="G20" i="46"/>
  <c r="D136" i="48"/>
  <c r="E121" i="46"/>
  <c r="E144" i="48"/>
  <c r="G79" i="46"/>
  <c r="J125" i="46"/>
  <c r="F152" i="48"/>
  <c r="F31" i="46"/>
  <c r="K162" i="48"/>
  <c r="J60" i="46"/>
  <c r="E103" i="46"/>
  <c r="E106" i="46"/>
  <c r="H9" i="46"/>
  <c r="J102" i="48"/>
  <c r="J54" i="48"/>
  <c r="G23" i="48"/>
  <c r="F61" i="46"/>
  <c r="J40" i="46"/>
  <c r="G102" i="48"/>
  <c r="J50" i="46"/>
  <c r="F34" i="46"/>
  <c r="D106" i="48"/>
  <c r="F106" i="48" s="1"/>
  <c r="G60" i="46"/>
  <c r="D154" i="48"/>
  <c r="F154" i="48" s="1"/>
  <c r="I35" i="46"/>
  <c r="D151" i="48"/>
  <c r="D101" i="48"/>
  <c r="K7" i="48"/>
  <c r="K133" i="48"/>
  <c r="J36" i="46"/>
  <c r="I162" i="48"/>
  <c r="F88" i="46"/>
  <c r="I37" i="48"/>
  <c r="F106" i="46"/>
  <c r="H95" i="46"/>
  <c r="H104" i="46"/>
  <c r="I16" i="48"/>
  <c r="E151" i="48"/>
  <c r="K60" i="46"/>
  <c r="F114" i="48"/>
  <c r="D73" i="48"/>
  <c r="D107" i="48"/>
  <c r="G39" i="48"/>
  <c r="D108" i="48"/>
  <c r="G108" i="48" s="1"/>
  <c r="G79" i="48"/>
  <c r="E68" i="46"/>
  <c r="F70" i="48"/>
  <c r="I39" i="46"/>
  <c r="F17" i="48"/>
  <c r="D143" i="48"/>
  <c r="F117" i="48"/>
  <c r="G32" i="48"/>
  <c r="I70" i="48"/>
  <c r="K146" i="48"/>
  <c r="F73" i="46"/>
  <c r="G57" i="48"/>
  <c r="G24" i="48"/>
  <c r="G124" i="48"/>
  <c r="D146" i="48"/>
  <c r="F125" i="46"/>
  <c r="G49" i="48"/>
  <c r="I108" i="48"/>
  <c r="I45" i="48"/>
  <c r="I54" i="48"/>
  <c r="F75" i="48"/>
  <c r="I106" i="48"/>
  <c r="I128" i="48"/>
  <c r="I34" i="48"/>
  <c r="I28" i="48"/>
  <c r="H18" i="46"/>
  <c r="K84" i="46"/>
  <c r="D148" i="48"/>
  <c r="G33" i="46"/>
  <c r="E105" i="48"/>
  <c r="G138" i="48"/>
  <c r="D90" i="48"/>
  <c r="G77" i="46"/>
  <c r="G14" i="46"/>
  <c r="E47" i="48"/>
  <c r="J72" i="48"/>
  <c r="D98" i="48"/>
  <c r="I80" i="48"/>
  <c r="G17" i="48"/>
  <c r="E42" i="48"/>
  <c r="I161" i="48"/>
  <c r="G158" i="48"/>
  <c r="I74" i="48"/>
  <c r="I30" i="48"/>
  <c r="I137" i="48"/>
  <c r="F71" i="48"/>
  <c r="F40" i="48"/>
  <c r="F18" i="48"/>
  <c r="I136" i="48"/>
  <c r="F163" i="48"/>
  <c r="I84" i="48"/>
  <c r="I55" i="48"/>
  <c r="I101" i="48"/>
  <c r="J124" i="48"/>
  <c r="K130" i="46"/>
  <c r="E102" i="48"/>
  <c r="E152" i="48"/>
  <c r="D77" i="48"/>
  <c r="J89" i="48"/>
  <c r="J89" i="46"/>
  <c r="G134" i="48"/>
  <c r="J77" i="48"/>
  <c r="J112" i="48"/>
  <c r="I160" i="48"/>
  <c r="I154" i="48"/>
  <c r="F14" i="48"/>
  <c r="I125" i="48"/>
  <c r="G15" i="48"/>
  <c r="F89" i="48"/>
  <c r="I60" i="48"/>
  <c r="E74" i="46"/>
  <c r="J81" i="46"/>
  <c r="E107" i="46"/>
  <c r="E33" i="48"/>
  <c r="F37" i="46"/>
  <c r="H50" i="46"/>
  <c r="F24" i="46"/>
  <c r="J109" i="46"/>
  <c r="K110" i="46"/>
  <c r="G69" i="46"/>
  <c r="E136" i="48"/>
  <c r="F9" i="48"/>
  <c r="I77" i="46"/>
  <c r="J80" i="46"/>
  <c r="E50" i="46"/>
  <c r="I52" i="46"/>
  <c r="D119" i="48"/>
  <c r="K64" i="48"/>
  <c r="J56" i="48"/>
  <c r="D72" i="48"/>
  <c r="J124" i="46"/>
  <c r="K26" i="46"/>
  <c r="I31" i="46"/>
  <c r="F89" i="46"/>
  <c r="E111" i="46"/>
  <c r="I18" i="46"/>
  <c r="I123" i="46"/>
  <c r="J61" i="46"/>
  <c r="G29" i="48"/>
  <c r="J135" i="48"/>
  <c r="I85" i="46"/>
  <c r="J121" i="48"/>
  <c r="E88" i="48"/>
  <c r="I95" i="46"/>
  <c r="I100" i="48"/>
  <c r="G57" i="46"/>
  <c r="G132" i="46"/>
  <c r="F91" i="46"/>
  <c r="K43" i="46"/>
  <c r="E14" i="46"/>
  <c r="J31" i="46"/>
  <c r="I131" i="48"/>
  <c r="K58" i="48"/>
  <c r="K82" i="48"/>
  <c r="F92" i="46"/>
  <c r="D111" i="48"/>
  <c r="G107" i="46"/>
  <c r="E53" i="46"/>
  <c r="G7" i="48"/>
  <c r="H64" i="46"/>
  <c r="E49" i="46"/>
  <c r="G116" i="46"/>
  <c r="G105" i="46"/>
  <c r="J20" i="46"/>
  <c r="F68" i="46"/>
  <c r="G149" i="48"/>
  <c r="G16" i="46"/>
  <c r="E24" i="48"/>
  <c r="H22" i="46"/>
  <c r="E133" i="48"/>
  <c r="I79" i="48"/>
  <c r="G50" i="48"/>
  <c r="G83" i="48"/>
  <c r="G37" i="48"/>
  <c r="F162" i="48"/>
  <c r="G80" i="48"/>
  <c r="F142" i="48"/>
  <c r="G64" i="48"/>
  <c r="G56" i="46"/>
  <c r="J107" i="46"/>
  <c r="F49" i="48"/>
  <c r="F102" i="48"/>
  <c r="G90" i="46"/>
  <c r="H96" i="46"/>
  <c r="F36" i="48"/>
  <c r="K102" i="46"/>
  <c r="G72" i="48"/>
  <c r="I102" i="48"/>
  <c r="J111" i="48"/>
  <c r="G41" i="48"/>
  <c r="E45" i="48"/>
  <c r="G124" i="46"/>
  <c r="K103" i="46"/>
  <c r="G67" i="48"/>
  <c r="F57" i="48"/>
  <c r="F109" i="48"/>
  <c r="F39" i="48"/>
  <c r="F145" i="48"/>
  <c r="F54" i="48"/>
  <c r="I75" i="48"/>
  <c r="G106" i="48"/>
  <c r="F128" i="48"/>
  <c r="F111" i="48"/>
  <c r="F16" i="48"/>
  <c r="F143" i="48"/>
  <c r="D78" i="48"/>
  <c r="G102" i="46"/>
  <c r="J128" i="46"/>
  <c r="E80" i="46"/>
  <c r="F122" i="46"/>
  <c r="D63" i="48"/>
  <c r="D147" i="48"/>
  <c r="I138" i="48"/>
  <c r="K86" i="48"/>
  <c r="E122" i="48"/>
  <c r="E32" i="46"/>
  <c r="H55" i="46"/>
  <c r="J48" i="48"/>
  <c r="G151" i="48"/>
  <c r="G11" i="48"/>
  <c r="G147" i="48"/>
  <c r="J16" i="48"/>
  <c r="I69" i="48"/>
  <c r="I14" i="48"/>
  <c r="I105" i="48"/>
  <c r="G16" i="48"/>
  <c r="D112" i="48"/>
  <c r="J153" i="48"/>
  <c r="F58" i="48"/>
  <c r="F39" i="46"/>
  <c r="F131" i="48"/>
  <c r="F85" i="48"/>
  <c r="G164" i="48"/>
  <c r="E90" i="48"/>
  <c r="J47" i="48"/>
  <c r="E149" i="48"/>
  <c r="F99" i="46"/>
  <c r="G61" i="48"/>
  <c r="G129" i="48"/>
  <c r="F48" i="48"/>
  <c r="K94" i="46"/>
  <c r="J68" i="48"/>
  <c r="J65" i="46"/>
  <c r="I14" i="46"/>
  <c r="J63" i="46"/>
  <c r="D82" i="48"/>
  <c r="F120" i="48"/>
  <c r="G38" i="48"/>
  <c r="E120" i="46"/>
  <c r="H127" i="46"/>
  <c r="H46" i="46"/>
  <c r="D35" i="48"/>
  <c r="K12" i="48"/>
  <c r="H32" i="46"/>
  <c r="G31" i="46"/>
  <c r="D13" i="48"/>
  <c r="K20" i="48"/>
  <c r="H44" i="46"/>
  <c r="E21" i="48"/>
  <c r="J70" i="48"/>
  <c r="H86" i="46"/>
  <c r="E99" i="48"/>
  <c r="G88" i="48"/>
  <c r="K127" i="46"/>
  <c r="K113" i="48"/>
  <c r="K140" i="48"/>
  <c r="J44" i="46"/>
  <c r="D157" i="48"/>
  <c r="E40" i="46"/>
  <c r="F122" i="48"/>
  <c r="I16" i="46"/>
  <c r="K100" i="46"/>
  <c r="K89" i="46"/>
  <c r="I87" i="48"/>
  <c r="F121" i="46"/>
  <c r="E161" i="48"/>
  <c r="G43" i="48"/>
  <c r="H103" i="46"/>
  <c r="I127" i="48"/>
  <c r="F127" i="48"/>
  <c r="F46" i="48"/>
  <c r="H83" i="46"/>
  <c r="F10" i="46"/>
  <c r="K14" i="46"/>
  <c r="I133" i="48"/>
  <c r="K118" i="46"/>
  <c r="J145" i="48"/>
  <c r="F65" i="48"/>
  <c r="J123" i="46"/>
  <c r="I86" i="46"/>
  <c r="J79" i="46"/>
  <c r="H61" i="46"/>
  <c r="F140" i="48"/>
  <c r="E130" i="46"/>
  <c r="H13" i="46"/>
  <c r="E80" i="48"/>
  <c r="F10" i="48"/>
  <c r="J112" i="46"/>
  <c r="K73" i="48"/>
  <c r="D62" i="48"/>
  <c r="K65" i="46"/>
  <c r="I163" i="48"/>
  <c r="E9" i="46"/>
  <c r="G54" i="48"/>
  <c r="J148" i="48"/>
  <c r="J91" i="46"/>
  <c r="I109" i="46"/>
  <c r="F112" i="46"/>
  <c r="G40" i="48"/>
  <c r="K114" i="48"/>
  <c r="G71" i="46"/>
  <c r="H93" i="46"/>
  <c r="K51" i="46"/>
  <c r="H31" i="46"/>
  <c r="I131" i="46"/>
  <c r="G159" i="48"/>
  <c r="K36" i="46"/>
  <c r="I100" i="46"/>
  <c r="D31" i="48"/>
  <c r="I64" i="46"/>
  <c r="I117" i="48"/>
  <c r="I40" i="46"/>
  <c r="J60" i="48"/>
  <c r="D25" i="48"/>
  <c r="F98" i="48"/>
  <c r="G74" i="48"/>
  <c r="F31" i="48"/>
  <c r="H90" i="48"/>
  <c r="H152" i="48"/>
  <c r="G154" i="48"/>
  <c r="F80" i="48"/>
  <c r="H35" i="48"/>
  <c r="F22" i="48"/>
  <c r="H142" i="48"/>
  <c r="H114" i="48"/>
  <c r="H79" i="48"/>
  <c r="H96" i="48"/>
  <c r="H53" i="48"/>
  <c r="H110" i="48"/>
  <c r="G145" i="48"/>
  <c r="H87" i="48"/>
  <c r="H106" i="48"/>
  <c r="H155" i="48"/>
  <c r="G66" i="48"/>
  <c r="H12" i="48"/>
  <c r="H154" i="48"/>
  <c r="H52" i="48"/>
  <c r="H120" i="48"/>
  <c r="G65" i="48"/>
  <c r="H77" i="48"/>
  <c r="I46" i="48"/>
  <c r="F108" i="48"/>
  <c r="G132" i="48"/>
  <c r="H70" i="48"/>
  <c r="H126" i="48"/>
  <c r="H111" i="48"/>
  <c r="H91" i="48"/>
  <c r="H29" i="48"/>
  <c r="G92" i="48"/>
  <c r="H27" i="48"/>
  <c r="I62" i="48"/>
  <c r="H122" i="48"/>
  <c r="H102" i="48"/>
  <c r="H144" i="48"/>
  <c r="H49" i="48"/>
  <c r="H127" i="48"/>
  <c r="H119" i="48"/>
  <c r="H15" i="48"/>
  <c r="H94" i="48"/>
  <c r="H76" i="48"/>
  <c r="H75" i="48"/>
  <c r="I118" i="48"/>
  <c r="H132" i="48"/>
  <c r="H116" i="48"/>
  <c r="H83" i="48"/>
  <c r="H130" i="48"/>
  <c r="H55" i="48"/>
  <c r="H89" i="48"/>
  <c r="H32" i="48"/>
  <c r="H143" i="48"/>
  <c r="H18" i="48"/>
  <c r="H138" i="48"/>
  <c r="G27" i="48"/>
  <c r="H160" i="48"/>
  <c r="H115" i="48"/>
  <c r="H148" i="48"/>
  <c r="H36" i="48"/>
  <c r="H14" i="48"/>
  <c r="H108" i="48"/>
  <c r="H16" i="48"/>
  <c r="H28" i="48"/>
  <c r="H8" i="48"/>
  <c r="H153" i="48"/>
  <c r="H40" i="48"/>
  <c r="H48" i="48"/>
  <c r="H74" i="48"/>
  <c r="G137" i="48"/>
  <c r="H163" i="48"/>
  <c r="H25" i="48"/>
  <c r="H65" i="48"/>
  <c r="I81" i="48"/>
  <c r="G36" i="48"/>
  <c r="H97" i="48"/>
  <c r="H31" i="48"/>
  <c r="H84" i="48"/>
  <c r="H58" i="48"/>
  <c r="H103" i="48"/>
  <c r="H82" i="48"/>
  <c r="H151" i="48"/>
  <c r="I57" i="48"/>
  <c r="H19" i="48"/>
  <c r="H147" i="48"/>
  <c r="G100" i="48"/>
  <c r="G150" i="48"/>
  <c r="H80" i="48"/>
  <c r="H45" i="48"/>
  <c r="H42" i="48"/>
  <c r="H26" i="48"/>
  <c r="H11" i="48"/>
  <c r="H159" i="48"/>
  <c r="H98" i="48"/>
  <c r="H71" i="48"/>
  <c r="H118" i="48"/>
  <c r="H69" i="48"/>
  <c r="H78" i="48"/>
  <c r="H134" i="48"/>
  <c r="H43" i="48"/>
  <c r="H139" i="48"/>
  <c r="H125" i="48"/>
  <c r="H141" i="48"/>
  <c r="H109" i="48"/>
  <c r="H20" i="48"/>
  <c r="H73" i="48"/>
  <c r="H38" i="48"/>
  <c r="H13" i="48"/>
  <c r="H86" i="48"/>
  <c r="H117" i="48"/>
  <c r="G127" i="48"/>
  <c r="H92" i="48"/>
  <c r="H68" i="48"/>
  <c r="H85" i="48"/>
  <c r="H161" i="48"/>
  <c r="H133" i="48"/>
  <c r="H47" i="48"/>
  <c r="H66" i="48"/>
  <c r="H157" i="48"/>
  <c r="H158" i="48"/>
  <c r="I19" i="48"/>
  <c r="H67" i="48"/>
  <c r="H63" i="48"/>
  <c r="H129" i="48"/>
  <c r="H95" i="48"/>
  <c r="H33" i="48"/>
  <c r="H57" i="48"/>
  <c r="H99" i="48"/>
  <c r="H24" i="48"/>
  <c r="G90" i="48"/>
  <c r="H44" i="48"/>
  <c r="H81" i="48"/>
  <c r="H22" i="48"/>
  <c r="H162" i="48"/>
  <c r="H54" i="48"/>
  <c r="H7" i="48"/>
  <c r="H61" i="48"/>
  <c r="H10" i="48"/>
  <c r="H145" i="48"/>
  <c r="H101" i="48"/>
  <c r="H9" i="48"/>
  <c r="H62" i="48"/>
  <c r="H34" i="48"/>
  <c r="H41" i="48"/>
  <c r="I48" i="48"/>
  <c r="H156" i="48"/>
  <c r="F88" i="48"/>
  <c r="H121" i="48"/>
  <c r="H93" i="48"/>
  <c r="H164" i="48"/>
  <c r="H21" i="48"/>
  <c r="H88" i="48"/>
  <c r="H105" i="48"/>
  <c r="H104" i="48"/>
  <c r="H56" i="48"/>
  <c r="H128" i="48"/>
  <c r="H51" i="48"/>
  <c r="H131" i="48"/>
  <c r="H23" i="48"/>
  <c r="H72" i="48"/>
  <c r="I153" i="48"/>
  <c r="H59" i="48"/>
  <c r="H37" i="48"/>
  <c r="F76" i="48"/>
  <c r="H100" i="48"/>
  <c r="H30" i="48"/>
  <c r="H64" i="48"/>
  <c r="H137" i="48"/>
  <c r="H135" i="48"/>
  <c r="H140" i="48"/>
  <c r="H124" i="48"/>
  <c r="H50" i="48"/>
  <c r="H107" i="48"/>
  <c r="G35" i="48"/>
  <c r="H136" i="48"/>
  <c r="H150" i="48"/>
  <c r="H113" i="48"/>
  <c r="G116" i="48"/>
  <c r="H46" i="48"/>
  <c r="H60" i="48"/>
  <c r="H149" i="48"/>
  <c r="H112" i="48"/>
  <c r="H123" i="48"/>
  <c r="H39" i="48"/>
  <c r="H17" i="48"/>
  <c r="H146" i="48"/>
  <c r="F8" i="48"/>
  <c r="I8" i="48"/>
  <c r="F153" i="48"/>
  <c r="G153" i="48"/>
  <c r="F161" i="48"/>
  <c r="G161" i="48"/>
  <c r="I15" i="48"/>
  <c r="F15" i="48"/>
  <c r="I24" i="48"/>
  <c r="F24" i="48"/>
  <c r="G12" i="48"/>
  <c r="I12" i="48"/>
  <c r="G47" i="48"/>
  <c r="I47" i="48"/>
  <c r="F47" i="48"/>
  <c r="G86" i="48"/>
  <c r="F86" i="48"/>
  <c r="F110" i="48"/>
  <c r="I110" i="48"/>
  <c r="G110" i="48"/>
  <c r="G30" i="48"/>
  <c r="F30" i="48"/>
  <c r="I123" i="48"/>
  <c r="F123" i="48"/>
  <c r="I109" i="48"/>
  <c r="G109" i="48"/>
  <c r="I52" i="48"/>
  <c r="G52" i="48"/>
  <c r="I139" i="48"/>
  <c r="G139" i="48"/>
  <c r="F139" i="48"/>
  <c r="G121" i="48"/>
  <c r="I121" i="48"/>
  <c r="I141" i="48"/>
  <c r="F141" i="48"/>
  <c r="I38" i="48"/>
  <c r="F38" i="48"/>
  <c r="I26" i="48"/>
  <c r="G26" i="48"/>
  <c r="F26" i="48"/>
  <c r="G28" i="48"/>
  <c r="F28" i="48"/>
  <c r="I9" i="48"/>
  <c r="G9" i="48"/>
  <c r="G136" i="48"/>
  <c r="F136" i="48"/>
  <c r="F151" i="48"/>
  <c r="I151" i="48"/>
  <c r="F101" i="48"/>
  <c r="G101" i="48"/>
  <c r="I73" i="48"/>
  <c r="F73" i="48"/>
  <c r="G73" i="48"/>
  <c r="G107" i="48"/>
  <c r="F107" i="48"/>
  <c r="I107" i="48"/>
  <c r="G143" i="48"/>
  <c r="I143" i="48"/>
  <c r="I146" i="48"/>
  <c r="F146" i="48"/>
  <c r="G146" i="48"/>
  <c r="F148" i="48"/>
  <c r="G148" i="48"/>
  <c r="I148" i="48"/>
  <c r="F90" i="48"/>
  <c r="I90" i="48"/>
  <c r="G98" i="48"/>
  <c r="I98" i="48"/>
  <c r="G77" i="48"/>
  <c r="F77" i="48"/>
  <c r="I77" i="48"/>
  <c r="G119" i="48"/>
  <c r="I119" i="48"/>
  <c r="F119" i="48"/>
  <c r="F72" i="48"/>
  <c r="I72" i="48"/>
  <c r="G111" i="48"/>
  <c r="I111" i="48"/>
  <c r="G78" i="48"/>
  <c r="I78" i="48"/>
  <c r="F78" i="48"/>
  <c r="I63" i="48"/>
  <c r="G63" i="48"/>
  <c r="F63" i="48"/>
  <c r="F147" i="48"/>
  <c r="I147" i="48"/>
  <c r="I112" i="48"/>
  <c r="G112" i="48"/>
  <c r="F112" i="48"/>
  <c r="F82" i="48"/>
  <c r="I82" i="48"/>
  <c r="G82" i="48"/>
  <c r="F35" i="48"/>
  <c r="I35" i="48"/>
  <c r="G13" i="48"/>
  <c r="F13" i="48"/>
  <c r="I13" i="48"/>
  <c r="F157" i="48"/>
  <c r="I157" i="48"/>
  <c r="G157" i="48"/>
  <c r="G62" i="48"/>
  <c r="F62" i="48"/>
  <c r="G31" i="48"/>
  <c r="I31" i="48"/>
  <c r="I25" i="48"/>
  <c r="G25" i="48"/>
  <c r="F25" i="48"/>
</calcChain>
</file>

<file path=xl/sharedStrings.xml><?xml version="1.0" encoding="utf-8"?>
<sst xmlns="http://schemas.openxmlformats.org/spreadsheetml/2006/main" count="856" uniqueCount="246">
  <si>
    <t>ALIGNMENT NAME :</t>
  </si>
  <si>
    <t>HOR-SO-NB_A02</t>
  </si>
  <si>
    <t>HORIZONTAL ALIGNMENT DATA</t>
  </si>
  <si>
    <t>HIP NO.</t>
  </si>
  <si>
    <t>MAIN POINT</t>
  </si>
  <si>
    <t>LOOP NO.</t>
  </si>
  <si>
    <t>CH.START (M.)</t>
  </si>
  <si>
    <t>CH.END (M.)</t>
  </si>
  <si>
    <t>E.START (M.)</t>
  </si>
  <si>
    <t>N.START (M.)</t>
  </si>
  <si>
    <t>AZIMUTH (DEG.)</t>
  </si>
  <si>
    <t>RADIUS (M.)</t>
  </si>
  <si>
    <t>CURVE TYPE</t>
  </si>
  <si>
    <t>REMARK</t>
  </si>
  <si>
    <t>i=0,k=0</t>
  </si>
  <si>
    <t>NORTH BOUND</t>
  </si>
  <si>
    <t>BOP</t>
  </si>
  <si>
    <t>T</t>
  </si>
  <si>
    <t>T = Straight Line</t>
  </si>
  <si>
    <t>1,1</t>
  </si>
  <si>
    <t>PI-1</t>
  </si>
  <si>
    <t>TS</t>
  </si>
  <si>
    <t>SPIN</t>
  </si>
  <si>
    <t>SPIN = Spiral Curve In</t>
  </si>
  <si>
    <t>1,2</t>
  </si>
  <si>
    <t>SC</t>
  </si>
  <si>
    <t>C</t>
  </si>
  <si>
    <t>C = Circular Curve</t>
  </si>
  <si>
    <t>1,3</t>
  </si>
  <si>
    <t>CS</t>
  </si>
  <si>
    <t>SPOT</t>
  </si>
  <si>
    <t>SPOT = Spiral Curve Out</t>
  </si>
  <si>
    <t>1,4</t>
  </si>
  <si>
    <t>ST</t>
  </si>
  <si>
    <t>2,5</t>
  </si>
  <si>
    <t>PI-2</t>
  </si>
  <si>
    <t>2,6</t>
  </si>
  <si>
    <t>2,7</t>
  </si>
  <si>
    <t>2,8</t>
  </si>
  <si>
    <t>3,9</t>
  </si>
  <si>
    <t>PI-3</t>
  </si>
  <si>
    <t>3,10</t>
  </si>
  <si>
    <t>3,11</t>
  </si>
  <si>
    <t>3,12</t>
  </si>
  <si>
    <t>4,13</t>
  </si>
  <si>
    <t>PI-4</t>
  </si>
  <si>
    <t>4,14</t>
  </si>
  <si>
    <t>4,15</t>
  </si>
  <si>
    <t>4,16</t>
  </si>
  <si>
    <t>5,17</t>
  </si>
  <si>
    <t>PI-5</t>
  </si>
  <si>
    <t>5,18</t>
  </si>
  <si>
    <t>5,19</t>
  </si>
  <si>
    <t>5,20</t>
  </si>
  <si>
    <t>6,21</t>
  </si>
  <si>
    <t>PI-6</t>
  </si>
  <si>
    <t>6,22</t>
  </si>
  <si>
    <t>6,23</t>
  </si>
  <si>
    <t>6,24</t>
  </si>
  <si>
    <t>7,25</t>
  </si>
  <si>
    <t>PI-7</t>
  </si>
  <si>
    <t>PC</t>
  </si>
  <si>
    <t>7,26</t>
  </si>
  <si>
    <t>PT</t>
  </si>
  <si>
    <t>8,27</t>
  </si>
  <si>
    <t>PI-8</t>
  </si>
  <si>
    <t>8,28</t>
  </si>
  <si>
    <t>8,29</t>
  </si>
  <si>
    <t>8,30</t>
  </si>
  <si>
    <t>9,31</t>
  </si>
  <si>
    <t>PI-9</t>
  </si>
  <si>
    <t>9,32</t>
  </si>
  <si>
    <t>9,33</t>
  </si>
  <si>
    <t>9,34</t>
  </si>
  <si>
    <t>10,35</t>
  </si>
  <si>
    <t>PI-10</t>
  </si>
  <si>
    <t>10,36</t>
  </si>
  <si>
    <t>10,37</t>
  </si>
  <si>
    <t>10,38</t>
  </si>
  <si>
    <t>11,39</t>
  </si>
  <si>
    <t>PI-11</t>
  </si>
  <si>
    <t>11,40</t>
  </si>
  <si>
    <t>11,41</t>
  </si>
  <si>
    <t>11,42</t>
  </si>
  <si>
    <t>12,43</t>
  </si>
  <si>
    <t>PI-12</t>
  </si>
  <si>
    <t>12,44</t>
  </si>
  <si>
    <t>12,45</t>
  </si>
  <si>
    <t>12,46</t>
  </si>
  <si>
    <t>13,47</t>
  </si>
  <si>
    <t>PI-13</t>
  </si>
  <si>
    <t>13,48</t>
  </si>
  <si>
    <t>13,49</t>
  </si>
  <si>
    <t>13,50</t>
  </si>
  <si>
    <t>14,51</t>
  </si>
  <si>
    <t>PI-14</t>
  </si>
  <si>
    <t>14,52</t>
  </si>
  <si>
    <t>14,53</t>
  </si>
  <si>
    <t>14,54</t>
  </si>
  <si>
    <t>15,55</t>
  </si>
  <si>
    <t>PI-15</t>
  </si>
  <si>
    <t>15,56</t>
  </si>
  <si>
    <t>15,57</t>
  </si>
  <si>
    <t>15,58</t>
  </si>
  <si>
    <t>16,59</t>
  </si>
  <si>
    <t>EOP</t>
  </si>
  <si>
    <t>VER-SO-NB_A02</t>
  </si>
  <si>
    <t>VERTICAL ALIGNMENT DATA</t>
  </si>
  <si>
    <t>VIP NO.</t>
  </si>
  <si>
    <t>ELEVATION (M.)</t>
  </si>
  <si>
    <t>GRADIENT 1 (%)</t>
  </si>
  <si>
    <t>GRADIENT 2 (%)</t>
  </si>
  <si>
    <t>LVC (M.)</t>
  </si>
  <si>
    <t>LVC 1 (M.)</t>
  </si>
  <si>
    <t>LVC 2 (M.)</t>
  </si>
  <si>
    <t>T = Tangent</t>
  </si>
  <si>
    <t>PVC</t>
  </si>
  <si>
    <t>S</t>
  </si>
  <si>
    <t>S = Symmetric Curve</t>
  </si>
  <si>
    <t>PVT</t>
  </si>
  <si>
    <t>U = Unsymmetric Curve</t>
  </si>
  <si>
    <t>2,3</t>
  </si>
  <si>
    <t>2,4</t>
  </si>
  <si>
    <t>3,5</t>
  </si>
  <si>
    <t>3,6</t>
  </si>
  <si>
    <t>4,7</t>
  </si>
  <si>
    <t>4,8</t>
  </si>
  <si>
    <t>5,9</t>
  </si>
  <si>
    <t>5,10</t>
  </si>
  <si>
    <t>6,11</t>
  </si>
  <si>
    <t>6,12</t>
  </si>
  <si>
    <t>7,13</t>
  </si>
  <si>
    <t>7,14</t>
  </si>
  <si>
    <t>8,15</t>
  </si>
  <si>
    <t>8,16</t>
  </si>
  <si>
    <t>9,17</t>
  </si>
  <si>
    <t>9,18</t>
  </si>
  <si>
    <t>10,19</t>
  </si>
  <si>
    <t>10,20</t>
  </si>
  <si>
    <t>11,21</t>
  </si>
  <si>
    <t>TUA-NB_A02</t>
  </si>
  <si>
    <t>TUNNEL ALIGNMENT DATA</t>
  </si>
  <si>
    <t>HOR.OS START (M.)</t>
  </si>
  <si>
    <t>HOR.OS END (M.)</t>
  </si>
  <si>
    <t>VER.OS START (M.)</t>
  </si>
  <si>
    <t>VER.OS END (M.)</t>
  </si>
  <si>
    <t>HOR. TYPE</t>
  </si>
  <si>
    <t>VER. TYPE</t>
  </si>
  <si>
    <t>0,0</t>
  </si>
  <si>
    <t>N</t>
  </si>
  <si>
    <t>V = Vary</t>
  </si>
  <si>
    <t>V</t>
  </si>
  <si>
    <t>N = Normal</t>
  </si>
  <si>
    <t>2,2</t>
  </si>
  <si>
    <t>3,3</t>
  </si>
  <si>
    <t>4,4</t>
  </si>
  <si>
    <t>5,5</t>
  </si>
  <si>
    <t>6,6</t>
  </si>
  <si>
    <t>7,7</t>
  </si>
  <si>
    <t>8,8</t>
  </si>
  <si>
    <t>9,9</t>
  </si>
  <si>
    <t>10,10</t>
  </si>
  <si>
    <t>11,11</t>
  </si>
  <si>
    <t>12,12</t>
  </si>
  <si>
    <t>13,13</t>
  </si>
  <si>
    <t>14,14</t>
  </si>
  <si>
    <t>15,15</t>
  </si>
  <si>
    <t>16,16</t>
  </si>
  <si>
    <t>17,17</t>
  </si>
  <si>
    <t>18,18</t>
  </si>
  <si>
    <t>19,19</t>
  </si>
  <si>
    <t>20,20</t>
  </si>
  <si>
    <t>21,21</t>
  </si>
  <si>
    <t>22,22</t>
  </si>
  <si>
    <t>23,23</t>
  </si>
  <si>
    <t>24,24</t>
  </si>
  <si>
    <t>25,25</t>
  </si>
  <si>
    <t>26,26</t>
  </si>
  <si>
    <t>27,27</t>
  </si>
  <si>
    <t>28,28</t>
  </si>
  <si>
    <t>29,29</t>
  </si>
  <si>
    <t>30,30</t>
  </si>
  <si>
    <t>31,31</t>
  </si>
  <si>
    <t>32,32</t>
  </si>
  <si>
    <t>33,33</t>
  </si>
  <si>
    <t>34,34</t>
  </si>
  <si>
    <t>35,35</t>
  </si>
  <si>
    <t>36,36</t>
  </si>
  <si>
    <t>37,37</t>
  </si>
  <si>
    <t>38,38</t>
  </si>
  <si>
    <t>39,39</t>
  </si>
  <si>
    <t>40,40</t>
  </si>
  <si>
    <t>41,41</t>
  </si>
  <si>
    <t>42,42</t>
  </si>
  <si>
    <t>43,43</t>
  </si>
  <si>
    <t>44,44</t>
  </si>
  <si>
    <t>45,45</t>
  </si>
  <si>
    <t>46,46</t>
  </si>
  <si>
    <t>47,47</t>
  </si>
  <si>
    <t>48,48</t>
  </si>
  <si>
    <t>49,49</t>
  </si>
  <si>
    <t>50,50</t>
  </si>
  <si>
    <t>51,51</t>
  </si>
  <si>
    <t>52,52</t>
  </si>
  <si>
    <t>53,53</t>
  </si>
  <si>
    <t>54,54</t>
  </si>
  <si>
    <t>55,55</t>
  </si>
  <si>
    <t>56,56</t>
  </si>
  <si>
    <t>57,57</t>
  </si>
  <si>
    <t>58,58</t>
  </si>
  <si>
    <t>59,59</t>
  </si>
  <si>
    <t>TRACK-NB_A02</t>
  </si>
  <si>
    <t>CANT DATA</t>
  </si>
  <si>
    <t>CANT START (MM.)</t>
  </si>
  <si>
    <t>CANT END (MM.)</t>
  </si>
  <si>
    <t>TYPE</t>
  </si>
  <si>
    <t>No.</t>
  </si>
  <si>
    <t>Chainage</t>
  </si>
  <si>
    <t>Track Alignment</t>
  </si>
  <si>
    <t>Tunnel Alignment</t>
  </si>
  <si>
    <t>Element</t>
  </si>
  <si>
    <t>Easting</t>
  </si>
  <si>
    <t>Northing</t>
  </si>
  <si>
    <t>Top of Rail Level</t>
  </si>
  <si>
    <t>Azimuth</t>
  </si>
  <si>
    <t>E,N</t>
  </si>
  <si>
    <t>CH,Elev.</t>
  </si>
  <si>
    <t>(m.)</t>
  </si>
  <si>
    <t>Hor.</t>
  </si>
  <si>
    <t>Ver.</t>
  </si>
  <si>
    <t>Offset</t>
  </si>
  <si>
    <t>Applied Cant</t>
  </si>
  <si>
    <t>(mm.)</t>
  </si>
  <si>
    <t>Plot to ACAD</t>
  </si>
  <si>
    <t>Hor. Array Name :</t>
  </si>
  <si>
    <t>Ver. Array Name :</t>
  </si>
  <si>
    <t>Cant Array Name :</t>
  </si>
  <si>
    <t>Tunnel Offset</t>
  </si>
  <si>
    <t>Center Level</t>
  </si>
  <si>
    <t>Remark</t>
  </si>
  <si>
    <t>HOR_ARRAY</t>
  </si>
  <si>
    <t>VER_ARRAY</t>
  </si>
  <si>
    <t>CANT_ARRAY</t>
  </si>
  <si>
    <t>Tunnel Array Name :</t>
  </si>
  <si>
    <t>TUA_ARRAY</t>
  </si>
  <si>
    <t>(d.mmss)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</si>
</sst>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\+000.000"/>
    <numFmt numFmtId="165" formatCode="0.000"/>
    <numFmt numFmtId="166" formatCode="0.000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charset val="222"/>
      <scheme val="major"/>
    </font>
    <font>
      <b/>
      <sz val="15"/>
      <color theme="3"/>
      <name val="Calibri"/>
      <family val="2"/>
      <charset val="222"/>
      <scheme val="minor"/>
    </font>
    <font>
      <b/>
      <sz val="13"/>
      <color theme="3"/>
      <name val="Calibri"/>
      <family val="2"/>
      <charset val="222"/>
      <scheme val="minor"/>
    </font>
    <font>
      <b/>
      <sz val="11"/>
      <color theme="3"/>
      <name val="Calibri"/>
      <family val="2"/>
      <charset val="222"/>
      <scheme val="minor"/>
    </font>
    <font>
      <sz val="11"/>
      <color rgb="FF006100"/>
      <name val="Calibri"/>
      <family val="2"/>
      <charset val="222"/>
      <scheme val="minor"/>
    </font>
    <font>
      <sz val="11"/>
      <color rgb="FF9C0006"/>
      <name val="Calibri"/>
      <family val="2"/>
      <charset val="222"/>
      <scheme val="minor"/>
    </font>
    <font>
      <sz val="11"/>
      <color rgb="FF9C5700"/>
      <name val="Calibri"/>
      <family val="2"/>
      <charset val="222"/>
      <scheme val="minor"/>
    </font>
    <font>
      <sz val="11"/>
      <color rgb="FF3F3F76"/>
      <name val="Calibri"/>
      <family val="2"/>
      <charset val="222"/>
      <scheme val="minor"/>
    </font>
    <font>
      <b/>
      <sz val="11"/>
      <color rgb="FF3F3F3F"/>
      <name val="Calibri"/>
      <family val="2"/>
      <charset val="222"/>
      <scheme val="minor"/>
    </font>
    <font>
      <b/>
      <sz val="11"/>
      <color rgb="FFFA7D00"/>
      <name val="Calibri"/>
      <family val="2"/>
      <charset val="222"/>
      <scheme val="minor"/>
    </font>
    <font>
      <sz val="11"/>
      <color rgb="FFFA7D00"/>
      <name val="Calibri"/>
      <family val="2"/>
      <charset val="222"/>
      <scheme val="minor"/>
    </font>
    <font>
      <b/>
      <sz val="11"/>
      <color theme="0"/>
      <name val="Calibri"/>
      <family val="2"/>
      <charset val="222"/>
      <scheme val="minor"/>
    </font>
    <font>
      <sz val="11"/>
      <color rgb="FFFF0000"/>
      <name val="Calibri"/>
      <family val="2"/>
      <charset val="222"/>
      <scheme val="minor"/>
    </font>
    <font>
      <i/>
      <sz val="11"/>
      <color rgb="FF7F7F7F"/>
      <name val="Calibri"/>
      <family val="2"/>
      <charset val="222"/>
      <scheme val="minor"/>
    </font>
    <font>
      <b/>
      <sz val="11"/>
      <color theme="1"/>
      <name val="Calibri"/>
      <family val="2"/>
      <charset val="222"/>
      <scheme val="minor"/>
    </font>
    <font>
      <sz val="11"/>
      <color theme="0"/>
      <name val="Calibri"/>
      <family val="2"/>
      <charset val="22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4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b/>
      <sz val="13"/>
      <color theme="4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8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2" fillId="0" borderId="0"/>
  </cellStyleXfs>
  <cellXfs count="22">
    <xf numFmtId="0" fontId="0" fillId="0" borderId="0" xfId="0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165" fontId="24" fillId="34" borderId="0" xfId="0" applyNumberFormat="1" applyFont="1" applyFill="1" applyAlignment="1">
      <alignment horizontal="center" vertical="center"/>
    </xf>
    <xf numFmtId="166" fontId="23" fillId="0" borderId="0" xfId="0" applyNumberFormat="1" applyFont="1" applyAlignment="1">
      <alignment horizontal="center" vertical="center"/>
    </xf>
    <xf numFmtId="166" fontId="22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0" fontId="21" fillId="33" borderId="0" xfId="0" applyFont="1" applyFill="1" applyAlignment="1">
      <alignment horizontal="center" vertical="center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  <cellStyle name="ปกติ 2" xfId="41" xr:uid="{61E72C66-54A0-4ECB-BF1E-87DAE4E4FB1F}"/>
    <cellStyle name="ปกติ 3" xfId="43" xr:uid="{90A33A71-B7E4-468F-A9F6-973BF86F573D}"/>
    <cellStyle name="หมายเหตุ 2" xfId="42" xr:uid="{E923E37B-9B50-48A6-94F7-45AF9B82AF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482D-2622-4342-A121-D478DE9C8300}">
  <sheetPr codeName="Sheet6">
    <tabColor rgb="FF0070C0"/>
  </sheetPr>
  <dimension ref="B1:M164"/>
  <sheetViews>
    <sheetView tabSelected="1" zoomScale="70" zoomScaleNormal="70" workbookViewId="0">
      <selection activeCell="H7" sqref="H7"/>
    </sheetView>
  </sheetViews>
  <sheetFormatPr defaultColWidth="15.77734375" defaultRowHeight="30" customHeight="1"/>
  <cols>
    <col min="1" max="1" width="6.33203125" style="9" customWidth="1"/>
    <col min="2" max="2" width="11.6640625" style="9" customWidth="1"/>
    <col min="3" max="3" width="25.77734375" style="11" customWidth="1"/>
    <col min="4" max="7" width="25.77734375" style="12" customWidth="1"/>
    <col min="8" max="8" width="25.77734375" style="16" customWidth="1"/>
    <col min="9" max="9" width="25.77734375" style="14" customWidth="1"/>
    <col min="10" max="10" width="15.77734375" style="9" customWidth="1"/>
    <col min="11" max="11" width="15.77734375" style="12" customWidth="1"/>
    <col min="12" max="13" width="25.77734375" style="12" customWidth="1"/>
    <col min="14" max="16384" width="15.77734375" style="9"/>
  </cols>
  <sheetData>
    <row r="1" spans="2:13" ht="30" customHeight="1">
      <c r="C1" s="9"/>
      <c r="D1" s="9"/>
      <c r="E1" s="9"/>
      <c r="F1" s="9"/>
      <c r="G1" s="9"/>
      <c r="H1" s="9"/>
      <c r="I1" s="9"/>
      <c r="K1" s="9"/>
      <c r="L1" s="9"/>
      <c r="M1" s="9"/>
    </row>
    <row r="2" spans="2:13" ht="30" customHeight="1">
      <c r="C2" s="3" t="s">
        <v>234</v>
      </c>
      <c r="D2" s="13" t="s">
        <v>240</v>
      </c>
      <c r="E2" s="3" t="s">
        <v>235</v>
      </c>
      <c r="F2" s="13" t="s">
        <v>241</v>
      </c>
      <c r="G2" s="3" t="s">
        <v>236</v>
      </c>
      <c r="H2" s="13" t="s">
        <v>242</v>
      </c>
      <c r="I2" s="18"/>
      <c r="K2" s="9"/>
      <c r="L2" s="9"/>
      <c r="M2" s="9"/>
    </row>
    <row r="3" spans="2:13" ht="30" customHeight="1">
      <c r="C3" s="9"/>
      <c r="D3" s="9"/>
      <c r="E3" s="9"/>
      <c r="F3" s="9"/>
      <c r="G3" s="9"/>
      <c r="H3" s="9"/>
      <c r="I3" s="9"/>
      <c r="K3" s="9"/>
      <c r="L3" s="9"/>
      <c r="M3" s="9"/>
    </row>
    <row r="4" spans="2:13" ht="30" customHeight="1">
      <c r="B4" s="3"/>
      <c r="C4" s="3"/>
      <c r="D4" s="3"/>
      <c r="E4" s="19" t="s">
        <v>218</v>
      </c>
      <c r="F4" s="19"/>
      <c r="G4" s="19"/>
      <c r="H4" s="19"/>
      <c r="I4" s="19"/>
      <c r="J4" s="19" t="s">
        <v>220</v>
      </c>
      <c r="K4" s="19"/>
      <c r="L4" s="3"/>
      <c r="M4" s="3"/>
    </row>
    <row r="5" spans="2:13" ht="30" customHeight="1">
      <c r="B5" s="3" t="s">
        <v>216</v>
      </c>
      <c r="C5" s="3" t="s">
        <v>217</v>
      </c>
      <c r="D5" s="3" t="s">
        <v>230</v>
      </c>
      <c r="E5" s="3" t="s">
        <v>221</v>
      </c>
      <c r="F5" s="3" t="s">
        <v>222</v>
      </c>
      <c r="G5" s="3" t="s">
        <v>223</v>
      </c>
      <c r="H5" s="3" t="s">
        <v>224</v>
      </c>
      <c r="I5" s="3" t="s">
        <v>231</v>
      </c>
      <c r="J5" s="3" t="s">
        <v>228</v>
      </c>
      <c r="K5" s="3" t="s">
        <v>229</v>
      </c>
      <c r="L5" s="3" t="s">
        <v>239</v>
      </c>
      <c r="M5" s="3"/>
    </row>
    <row r="6" spans="2:13" ht="30" customHeight="1">
      <c r="B6" s="3"/>
      <c r="C6" s="3" t="s">
        <v>227</v>
      </c>
      <c r="D6" s="3" t="s">
        <v>227</v>
      </c>
      <c r="E6" s="3" t="s">
        <v>227</v>
      </c>
      <c r="F6" s="3" t="s">
        <v>227</v>
      </c>
      <c r="G6" s="3" t="s">
        <v>227</v>
      </c>
      <c r="H6" s="17" t="s">
        <v>245</v>
      </c>
      <c r="I6" s="3" t="s">
        <v>232</v>
      </c>
      <c r="J6" s="3"/>
      <c r="K6" s="9"/>
      <c r="L6" s="9"/>
      <c r="M6" s="9"/>
    </row>
    <row r="7" spans="2:13" ht="30" customHeight="1">
      <c r="B7" s="9">
        <v>1</v>
      </c>
      <c r="C7" s="11">
        <v>7202.8339999999998</v>
      </c>
      <c r="D7" s="12">
        <v>0</v>
      </c>
      <c r="E7" s="12">
        <f ca="1">Hor(C7,D7,INDIRECT($D$2),"E")</f>
        <v>662670.304</v>
      </c>
      <c r="F7" s="12">
        <f ca="1">Hor(C7,D7,INDIRECT($D$2),"N")</f>
        <v>1521355.848</v>
      </c>
      <c r="G7" s="12">
        <f ca="1">ver(C7,INDIRECT($F$2))</f>
        <v>67.2</v>
      </c>
      <c r="H7" s="16">
        <f ca="1">Hor(C7,D7,INDIRECT($D$2),"W")</f>
        <v>150.92629300070647</v>
      </c>
      <c r="I7" s="14">
        <f ca="1">Cant(C7,INDIRECT($H$2))</f>
        <v>0</v>
      </c>
      <c r="J7" s="12" t="str">
        <f ca="1">HorType(C7,INDIRECT($D$2))</f>
        <v>Linear</v>
      </c>
      <c r="K7" s="12" t="str">
        <f ca="1">VerType(C7,INDIRECT($F$2))</f>
        <v>Linear</v>
      </c>
      <c r="L7" s="12" t="s">
        <v>16</v>
      </c>
    </row>
    <row r="8" spans="2:13" ht="30" customHeight="1">
      <c r="B8" s="9">
        <v>2</v>
      </c>
      <c r="C8" s="11">
        <v>7225</v>
      </c>
      <c r="D8" s="12">
        <v>0</v>
      </c>
      <c r="E8" s="12">
        <f ca="1">Hor(C8,D8,INDIRECT($D$2),"E")</f>
        <v>662681.07521950733</v>
      </c>
      <c r="F8" s="12">
        <f ca="1">Hor(C8,D8,INDIRECT($D$2),"N")</f>
        <v>1521336.4750191679</v>
      </c>
      <c r="G8" s="12">
        <f ca="1">ver(C8,INDIRECT($F$2))</f>
        <v>67.2</v>
      </c>
      <c r="H8" s="16">
        <f t="shared" ref="H8:H71" ca="1" si="0">Hor(C8,D8,INDIRECT($D$2),"W")</f>
        <v>150.92629300070647</v>
      </c>
      <c r="I8" s="14">
        <f ca="1">Cant(C8,INDIRECT($H$2))</f>
        <v>0</v>
      </c>
      <c r="J8" s="12" t="str">
        <f ca="1">HorType(C8,INDIRECT($D$2))</f>
        <v>Linear</v>
      </c>
      <c r="K8" s="12" t="str">
        <f ca="1">VerType(C8,INDIRECT($F$2))</f>
        <v>Linear</v>
      </c>
      <c r="M8" s="16"/>
    </row>
    <row r="9" spans="2:13" ht="30" customHeight="1">
      <c r="B9" s="9">
        <v>3</v>
      </c>
      <c r="C9" s="11">
        <v>7250</v>
      </c>
      <c r="D9" s="12">
        <v>0</v>
      </c>
      <c r="E9" s="12">
        <f t="shared" ref="E9:E72" ca="1" si="1">Hor(C9,D9,INDIRECT($D$2),"E")</f>
        <v>662693.22357679694</v>
      </c>
      <c r="F9" s="12">
        <f t="shared" ref="F9:F72" ca="1" si="2">Hor(C9,D9,INDIRECT($D$2),"N")</f>
        <v>1521314.6251355258</v>
      </c>
      <c r="G9" s="12">
        <f t="shared" ref="G9:G72" ca="1" si="3">ver(C9,INDIRECT($F$2))</f>
        <v>67.237225156474338</v>
      </c>
      <c r="H9" s="16">
        <f t="shared" ca="1" si="0"/>
        <v>150.92629300070647</v>
      </c>
      <c r="I9" s="14">
        <f t="shared" ref="I9:I72" ca="1" si="4">Cant(C9,INDIRECT($H$2))</f>
        <v>0</v>
      </c>
      <c r="J9" s="12" t="str">
        <f t="shared" ref="J9:J72" ca="1" si="5">HorType(C9,INDIRECT($D$2))</f>
        <v>Linear</v>
      </c>
      <c r="K9" s="12" t="str">
        <f t="shared" ref="K9:K72" ca="1" si="6">VerType(C9,INDIRECT($F$2))</f>
        <v>Parabola</v>
      </c>
      <c r="M9" s="16"/>
    </row>
    <row r="10" spans="2:13" ht="30" customHeight="1">
      <c r="B10" s="9">
        <v>4</v>
      </c>
      <c r="C10" s="11">
        <v>7275</v>
      </c>
      <c r="D10" s="12">
        <v>0</v>
      </c>
      <c r="E10" s="12">
        <f t="shared" ca="1" si="1"/>
        <v>662705.37193408655</v>
      </c>
      <c r="F10" s="12">
        <f t="shared" ca="1" si="2"/>
        <v>1521292.775251884</v>
      </c>
      <c r="G10" s="12">
        <f t="shared" ca="1" si="3"/>
        <v>67.474779848946369</v>
      </c>
      <c r="H10" s="16">
        <f t="shared" ca="1" si="0"/>
        <v>150.92629300070647</v>
      </c>
      <c r="I10" s="14">
        <f t="shared" ca="1" si="4"/>
        <v>0</v>
      </c>
      <c r="J10" s="12" t="str">
        <f t="shared" ca="1" si="5"/>
        <v>Linear</v>
      </c>
      <c r="K10" s="12" t="str">
        <f t="shared" ca="1" si="6"/>
        <v>Parabola</v>
      </c>
      <c r="M10" s="16"/>
    </row>
    <row r="11" spans="2:13" ht="30" customHeight="1">
      <c r="B11" s="9">
        <v>5</v>
      </c>
      <c r="C11" s="11">
        <v>7300</v>
      </c>
      <c r="D11" s="12">
        <v>0</v>
      </c>
      <c r="E11" s="12">
        <f t="shared" ca="1" si="1"/>
        <v>662717.34674047551</v>
      </c>
      <c r="F11" s="12">
        <f t="shared" ca="1" si="2"/>
        <v>1521270.8309655103</v>
      </c>
      <c r="G11" s="12">
        <f t="shared" ca="1" si="3"/>
        <v>67.931795956948477</v>
      </c>
      <c r="H11" s="16">
        <f t="shared" ca="1" si="0"/>
        <v>152.69220500312085</v>
      </c>
      <c r="I11" s="14">
        <f t="shared" ca="1" si="4"/>
        <v>48.07882558904339</v>
      </c>
      <c r="J11" s="12" t="str">
        <f t="shared" ca="1" si="5"/>
        <v>Clothoid</v>
      </c>
      <c r="K11" s="12" t="str">
        <f t="shared" ca="1" si="6"/>
        <v>Parabola</v>
      </c>
    </row>
    <row r="12" spans="2:13" ht="30" customHeight="1">
      <c r="B12" s="9">
        <v>6</v>
      </c>
      <c r="C12" s="11">
        <v>7325</v>
      </c>
      <c r="D12" s="12">
        <v>0</v>
      </c>
      <c r="E12" s="12">
        <f t="shared" ca="1" si="1"/>
        <v>662727.58921899833</v>
      </c>
      <c r="F12" s="12">
        <f t="shared" ca="1" si="2"/>
        <v>1521248.0415076627</v>
      </c>
      <c r="G12" s="12">
        <f t="shared" ca="1" si="3"/>
        <v>68.608273480480648</v>
      </c>
      <c r="H12" s="16">
        <f t="shared" ca="1" si="0"/>
        <v>159.30050920736022</v>
      </c>
      <c r="I12" s="14">
        <f t="shared" ca="1" si="4"/>
        <v>75</v>
      </c>
      <c r="J12" s="12" t="str">
        <f t="shared" ca="1" si="5"/>
        <v>Circular</v>
      </c>
      <c r="K12" s="12" t="str">
        <f t="shared" ca="1" si="6"/>
        <v>Parabola</v>
      </c>
    </row>
    <row r="13" spans="2:13" ht="30" customHeight="1">
      <c r="B13" s="9">
        <v>7</v>
      </c>
      <c r="C13" s="11">
        <v>7350</v>
      </c>
      <c r="D13" s="12">
        <v>0</v>
      </c>
      <c r="E13" s="12">
        <f t="shared" ca="1" si="1"/>
        <v>662734.94315220695</v>
      </c>
      <c r="F13" s="12">
        <f t="shared" ca="1" si="2"/>
        <v>1521224.1646090362</v>
      </c>
      <c r="G13" s="12">
        <f t="shared" ca="1" si="3"/>
        <v>69.398300755943353</v>
      </c>
      <c r="H13" s="16">
        <f t="shared" ca="1" si="0"/>
        <v>166.46248144719547</v>
      </c>
      <c r="I13" s="14">
        <f t="shared" ca="1" si="4"/>
        <v>75</v>
      </c>
      <c r="J13" s="12" t="str">
        <f t="shared" ca="1" si="5"/>
        <v>Circular</v>
      </c>
      <c r="K13" s="12" t="str">
        <f t="shared" ca="1" si="6"/>
        <v>Linear</v>
      </c>
    </row>
    <row r="14" spans="2:13" ht="30" customHeight="1">
      <c r="B14" s="9">
        <v>8</v>
      </c>
      <c r="C14" s="11">
        <v>7375</v>
      </c>
      <c r="D14" s="12">
        <v>0</v>
      </c>
      <c r="E14" s="12">
        <f t="shared" ca="1" si="1"/>
        <v>662739.26286161121</v>
      </c>
      <c r="F14" s="12">
        <f t="shared" ca="1" si="2"/>
        <v>1521199.5571562564</v>
      </c>
      <c r="G14" s="12">
        <f t="shared" ca="1" si="3"/>
        <v>70.18836185185161</v>
      </c>
      <c r="H14" s="16">
        <f t="shared" ca="1" si="0"/>
        <v>173.62445368703072</v>
      </c>
      <c r="I14" s="14">
        <f t="shared" ca="1" si="4"/>
        <v>75</v>
      </c>
      <c r="J14" s="12" t="str">
        <f t="shared" ca="1" si="5"/>
        <v>Circular</v>
      </c>
      <c r="K14" s="12" t="str">
        <f t="shared" ca="1" si="6"/>
        <v>Linear</v>
      </c>
    </row>
    <row r="15" spans="2:13" ht="30" customHeight="1">
      <c r="B15" s="9">
        <v>9</v>
      </c>
      <c r="C15" s="11">
        <v>7400</v>
      </c>
      <c r="D15" s="12">
        <v>0</v>
      </c>
      <c r="E15" s="12">
        <f t="shared" ca="1" si="1"/>
        <v>662740.4809395906</v>
      </c>
      <c r="F15" s="12">
        <f t="shared" ca="1" si="2"/>
        <v>1521174.6031403933</v>
      </c>
      <c r="G15" s="12">
        <f t="shared" ca="1" si="3"/>
        <v>70.978422947759867</v>
      </c>
      <c r="H15" s="16">
        <f t="shared" ca="1" si="0"/>
        <v>180.786425926866</v>
      </c>
      <c r="I15" s="14">
        <f t="shared" ca="1" si="4"/>
        <v>75</v>
      </c>
      <c r="J15" s="12" t="str">
        <f t="shared" ca="1" si="5"/>
        <v>Circular</v>
      </c>
      <c r="K15" s="12" t="str">
        <f t="shared" ca="1" si="6"/>
        <v>Linear</v>
      </c>
    </row>
    <row r="16" spans="2:13" ht="30" customHeight="1">
      <c r="B16" s="9">
        <v>10</v>
      </c>
      <c r="C16" s="11">
        <v>7425</v>
      </c>
      <c r="D16" s="12">
        <v>0</v>
      </c>
      <c r="E16" s="12">
        <f t="shared" ca="1" si="1"/>
        <v>662738.5783784457</v>
      </c>
      <c r="F16" s="12">
        <f t="shared" ca="1" si="2"/>
        <v>1521149.6919605187</v>
      </c>
      <c r="G16" s="12">
        <f t="shared" ca="1" si="3"/>
        <v>71.768484043668124</v>
      </c>
      <c r="H16" s="16">
        <f t="shared" ca="1" si="0"/>
        <v>187.94839816670125</v>
      </c>
      <c r="I16" s="14">
        <f t="shared" ca="1" si="4"/>
        <v>75</v>
      </c>
      <c r="J16" s="12" t="str">
        <f t="shared" ca="1" si="5"/>
        <v>Circular</v>
      </c>
      <c r="K16" s="12" t="str">
        <f t="shared" ca="1" si="6"/>
        <v>Linear</v>
      </c>
    </row>
    <row r="17" spans="2:11" ht="30" customHeight="1">
      <c r="B17" s="9">
        <v>11</v>
      </c>
      <c r="C17" s="11">
        <v>7450</v>
      </c>
      <c r="D17" s="12">
        <v>0</v>
      </c>
      <c r="E17" s="12">
        <f t="shared" ca="1" si="1"/>
        <v>662733.73196504242</v>
      </c>
      <c r="F17" s="12">
        <f t="shared" ca="1" si="2"/>
        <v>1521125.1772880487</v>
      </c>
      <c r="G17" s="12">
        <f t="shared" ca="1" si="3"/>
        <v>72.558545139576381</v>
      </c>
      <c r="H17" s="16">
        <f t="shared" ca="1" si="0"/>
        <v>193.63276114507923</v>
      </c>
      <c r="I17" s="14">
        <f t="shared" ca="1" si="4"/>
        <v>31.020591390458776</v>
      </c>
      <c r="J17" s="12" t="str">
        <f t="shared" ca="1" si="5"/>
        <v>Clothoid</v>
      </c>
      <c r="K17" s="12" t="str">
        <f t="shared" ca="1" si="6"/>
        <v>Linear</v>
      </c>
    </row>
    <row r="18" spans="2:11" ht="30" customHeight="1">
      <c r="B18" s="9">
        <v>12</v>
      </c>
      <c r="C18" s="11">
        <v>7475</v>
      </c>
      <c r="D18" s="12">
        <v>0</v>
      </c>
      <c r="E18" s="12">
        <f t="shared" ca="1" si="1"/>
        <v>662727.57975073252</v>
      </c>
      <c r="F18" s="12">
        <f t="shared" ca="1" si="2"/>
        <v>1521100.946257171</v>
      </c>
      <c r="G18" s="12">
        <f t="shared" ca="1" si="3"/>
        <v>73.348606235484638</v>
      </c>
      <c r="H18" s="16">
        <f t="shared" ca="1" si="0"/>
        <v>194.36788655481212</v>
      </c>
      <c r="I18" s="14">
        <f t="shared" ca="1" si="4"/>
        <v>0</v>
      </c>
      <c r="J18" s="12" t="str">
        <f t="shared" ca="1" si="5"/>
        <v>Linear</v>
      </c>
      <c r="K18" s="12" t="str">
        <f t="shared" ca="1" si="6"/>
        <v>Linear</v>
      </c>
    </row>
    <row r="19" spans="2:11" ht="30" customHeight="1">
      <c r="B19" s="9">
        <v>13</v>
      </c>
      <c r="C19" s="11">
        <v>7500</v>
      </c>
      <c r="D19" s="12">
        <v>0</v>
      </c>
      <c r="E19" s="12">
        <f t="shared" ca="1" si="1"/>
        <v>662721.37635222741</v>
      </c>
      <c r="F19" s="12">
        <f t="shared" ca="1" si="2"/>
        <v>1521076.7281266437</v>
      </c>
      <c r="G19" s="12">
        <f t="shared" ca="1" si="3"/>
        <v>74.138667331392895</v>
      </c>
      <c r="H19" s="16">
        <f t="shared" ca="1" si="0"/>
        <v>194.3569965551871</v>
      </c>
      <c r="I19" s="14">
        <f t="shared" ca="1" si="4"/>
        <v>0</v>
      </c>
      <c r="J19" s="12" t="str">
        <f t="shared" ca="1" si="5"/>
        <v>Clothoid</v>
      </c>
      <c r="K19" s="12" t="str">
        <f t="shared" ca="1" si="6"/>
        <v>Linear</v>
      </c>
    </row>
    <row r="20" spans="2:11" ht="30" customHeight="1">
      <c r="B20" s="9">
        <v>14</v>
      </c>
      <c r="C20" s="11">
        <v>7525</v>
      </c>
      <c r="D20" s="12">
        <v>0</v>
      </c>
      <c r="E20" s="12">
        <f t="shared" ca="1" si="1"/>
        <v>662715.24808128539</v>
      </c>
      <c r="F20" s="12">
        <f t="shared" ca="1" si="2"/>
        <v>1521052.4909422488</v>
      </c>
      <c r="G20" s="12">
        <f t="shared" ca="1" si="3"/>
        <v>74.928728427301138</v>
      </c>
      <c r="H20" s="16">
        <f t="shared" ca="1" si="0"/>
        <v>193.92325960747573</v>
      </c>
      <c r="I20" s="14">
        <f t="shared" ca="1" si="4"/>
        <v>0</v>
      </c>
      <c r="J20" s="12" t="str">
        <f t="shared" ca="1" si="5"/>
        <v>Circular</v>
      </c>
      <c r="K20" s="12" t="str">
        <f t="shared" ca="1" si="6"/>
        <v>Linear</v>
      </c>
    </row>
    <row r="21" spans="2:11" ht="30" customHeight="1">
      <c r="B21" s="9">
        <v>15</v>
      </c>
      <c r="C21" s="11">
        <v>7550</v>
      </c>
      <c r="D21" s="12">
        <v>0</v>
      </c>
      <c r="E21" s="12">
        <f t="shared" ca="1" si="1"/>
        <v>662709.37036083976</v>
      </c>
      <c r="F21" s="12">
        <f t="shared" ca="1" si="2"/>
        <v>1521028.1918533253</v>
      </c>
      <c r="G21" s="12">
        <f t="shared" ca="1" si="3"/>
        <v>75.718789523209409</v>
      </c>
      <c r="H21" s="16">
        <f t="shared" ca="1" si="0"/>
        <v>193.27985447933898</v>
      </c>
      <c r="I21" s="14">
        <f t="shared" ca="1" si="4"/>
        <v>0</v>
      </c>
      <c r="J21" s="12" t="str">
        <f t="shared" ca="1" si="5"/>
        <v>Clothoid</v>
      </c>
      <c r="K21" s="12" t="str">
        <f t="shared" ca="1" si="6"/>
        <v>Linear</v>
      </c>
    </row>
    <row r="22" spans="2:11" ht="30" customHeight="1">
      <c r="B22" s="9">
        <v>16</v>
      </c>
      <c r="C22" s="11">
        <v>7575</v>
      </c>
      <c r="D22" s="12">
        <v>0</v>
      </c>
      <c r="E22" s="12">
        <f t="shared" ca="1" si="1"/>
        <v>662703.69879645074</v>
      </c>
      <c r="F22" s="12">
        <f t="shared" ca="1" si="2"/>
        <v>1521003.8437029026</v>
      </c>
      <c r="G22" s="12">
        <f t="shared" ca="1" si="3"/>
        <v>76.423381082398208</v>
      </c>
      <c r="H22" s="16">
        <f t="shared" ca="1" si="0"/>
        <v>193.04665218705497</v>
      </c>
      <c r="I22" s="14">
        <f t="shared" ca="1" si="4"/>
        <v>0</v>
      </c>
      <c r="J22" s="12" t="str">
        <f t="shared" ca="1" si="5"/>
        <v>Linear</v>
      </c>
      <c r="K22" s="12" t="str">
        <f t="shared" ca="1" si="6"/>
        <v>Parabola</v>
      </c>
    </row>
    <row r="23" spans="2:11" ht="30" customHeight="1">
      <c r="B23" s="9">
        <v>17</v>
      </c>
      <c r="C23" s="11">
        <v>7600</v>
      </c>
      <c r="D23" s="12">
        <v>0</v>
      </c>
      <c r="E23" s="12">
        <f t="shared" ca="1" si="1"/>
        <v>662698.05518553767</v>
      </c>
      <c r="F23" s="12">
        <f t="shared" ca="1" si="2"/>
        <v>1520979.489038958</v>
      </c>
      <c r="G23" s="12">
        <f t="shared" ca="1" si="3"/>
        <v>76.852739784969557</v>
      </c>
      <c r="H23" s="16">
        <f t="shared" ca="1" si="0"/>
        <v>193.04665218705497</v>
      </c>
      <c r="I23" s="14">
        <f t="shared" ca="1" si="4"/>
        <v>0</v>
      </c>
      <c r="J23" s="12" t="str">
        <f t="shared" ca="1" si="5"/>
        <v>Linear</v>
      </c>
      <c r="K23" s="12" t="str">
        <f t="shared" ca="1" si="6"/>
        <v>Parabola</v>
      </c>
    </row>
    <row r="24" spans="2:11" ht="30" customHeight="1">
      <c r="B24" s="9">
        <v>18</v>
      </c>
      <c r="C24" s="11">
        <v>7625</v>
      </c>
      <c r="D24" s="12">
        <v>0</v>
      </c>
      <c r="E24" s="12">
        <f t="shared" ca="1" si="1"/>
        <v>662692.4115746246</v>
      </c>
      <c r="F24" s="12">
        <f t="shared" ca="1" si="2"/>
        <v>1520955.1343750132</v>
      </c>
      <c r="G24" s="12">
        <f t="shared" ca="1" si="3"/>
        <v>76.999933810430804</v>
      </c>
      <c r="H24" s="16">
        <f t="shared" ca="1" si="0"/>
        <v>193.04665218705497</v>
      </c>
      <c r="I24" s="14">
        <f t="shared" ca="1" si="4"/>
        <v>0</v>
      </c>
      <c r="J24" s="12" t="str">
        <f t="shared" ca="1" si="5"/>
        <v>Linear</v>
      </c>
      <c r="K24" s="12" t="str">
        <f t="shared" ca="1" si="6"/>
        <v>Parabola</v>
      </c>
    </row>
    <row r="25" spans="2:11" ht="30" customHeight="1">
      <c r="B25" s="9">
        <v>19</v>
      </c>
      <c r="C25" s="11">
        <v>7650</v>
      </c>
      <c r="D25" s="12">
        <v>0</v>
      </c>
      <c r="E25" s="12">
        <f t="shared" ca="1" si="1"/>
        <v>662686.76796371152</v>
      </c>
      <c r="F25" s="12">
        <f t="shared" ca="1" si="2"/>
        <v>1520930.7797110684</v>
      </c>
      <c r="G25" s="12">
        <f t="shared" ca="1" si="3"/>
        <v>77</v>
      </c>
      <c r="H25" s="16">
        <f t="shared" ca="1" si="0"/>
        <v>193.04665218705497</v>
      </c>
      <c r="I25" s="14">
        <f t="shared" ca="1" si="4"/>
        <v>0</v>
      </c>
      <c r="J25" s="12" t="str">
        <f t="shared" ca="1" si="5"/>
        <v>Linear</v>
      </c>
      <c r="K25" s="12" t="str">
        <f t="shared" ca="1" si="6"/>
        <v>Linear</v>
      </c>
    </row>
    <row r="26" spans="2:11" ht="30" customHeight="1">
      <c r="B26" s="9">
        <v>20</v>
      </c>
      <c r="C26" s="11">
        <v>7675</v>
      </c>
      <c r="D26" s="12">
        <v>0</v>
      </c>
      <c r="E26" s="12">
        <f t="shared" ca="1" si="1"/>
        <v>662681.12435279845</v>
      </c>
      <c r="F26" s="12">
        <f t="shared" ca="1" si="2"/>
        <v>1520906.4250471236</v>
      </c>
      <c r="G26" s="12">
        <f t="shared" ca="1" si="3"/>
        <v>77</v>
      </c>
      <c r="H26" s="16">
        <f t="shared" ca="1" si="0"/>
        <v>193.04665218705497</v>
      </c>
      <c r="I26" s="14">
        <f t="shared" ca="1" si="4"/>
        <v>0</v>
      </c>
      <c r="J26" s="12" t="str">
        <f t="shared" ca="1" si="5"/>
        <v>Linear</v>
      </c>
      <c r="K26" s="12" t="str">
        <f t="shared" ca="1" si="6"/>
        <v>Linear</v>
      </c>
    </row>
    <row r="27" spans="2:11" ht="30" customHeight="1">
      <c r="B27" s="9">
        <v>21</v>
      </c>
      <c r="C27" s="11">
        <v>7700</v>
      </c>
      <c r="D27" s="12">
        <v>0</v>
      </c>
      <c r="E27" s="12">
        <f t="shared" ca="1" si="1"/>
        <v>662675.46524006291</v>
      </c>
      <c r="F27" s="12">
        <f t="shared" ca="1" si="2"/>
        <v>1520882.0739886283</v>
      </c>
      <c r="G27" s="12">
        <f t="shared" ca="1" si="3"/>
        <v>77.026179968205625</v>
      </c>
      <c r="H27" s="16">
        <f t="shared" ca="1" si="0"/>
        <v>193.20175769049976</v>
      </c>
      <c r="I27" s="14">
        <f t="shared" ca="1" si="4"/>
        <v>0</v>
      </c>
      <c r="J27" s="12" t="str">
        <f t="shared" ca="1" si="5"/>
        <v>Clothoid</v>
      </c>
      <c r="K27" s="12" t="str">
        <f t="shared" ca="1" si="6"/>
        <v>Parabola</v>
      </c>
    </row>
    <row r="28" spans="2:11" ht="30" customHeight="1">
      <c r="B28" s="9">
        <v>22</v>
      </c>
      <c r="C28" s="11">
        <v>7725</v>
      </c>
      <c r="D28" s="12">
        <v>0</v>
      </c>
      <c r="E28" s="12">
        <f t="shared" ca="1" si="1"/>
        <v>662669.6338717934</v>
      </c>
      <c r="F28" s="12">
        <f t="shared" ca="1" si="2"/>
        <v>1520857.7637181582</v>
      </c>
      <c r="G28" s="12">
        <f t="shared" ca="1" si="3"/>
        <v>77.145838038184252</v>
      </c>
      <c r="H28" s="16">
        <f t="shared" ca="1" si="0"/>
        <v>193.79757984128443</v>
      </c>
      <c r="I28" s="14">
        <f t="shared" ca="1" si="4"/>
        <v>0</v>
      </c>
      <c r="J28" s="12" t="str">
        <f t="shared" ca="1" si="5"/>
        <v>Circular</v>
      </c>
      <c r="K28" s="12" t="str">
        <f t="shared" ca="1" si="6"/>
        <v>Parabola</v>
      </c>
    </row>
    <row r="29" spans="2:11" ht="30" customHeight="1">
      <c r="B29" s="9">
        <v>23</v>
      </c>
      <c r="C29" s="11">
        <v>7750</v>
      </c>
      <c r="D29" s="12">
        <v>0</v>
      </c>
      <c r="E29" s="12">
        <f t="shared" ca="1" si="1"/>
        <v>662663.54104147491</v>
      </c>
      <c r="F29" s="12">
        <f t="shared" ca="1" si="2"/>
        <v>1520833.5176552746</v>
      </c>
      <c r="G29" s="12">
        <f t="shared" ca="1" si="3"/>
        <v>77.336191146011942</v>
      </c>
      <c r="H29" s="16">
        <f t="shared" ca="1" si="0"/>
        <v>194.39038213021331</v>
      </c>
      <c r="I29" s="14">
        <f t="shared" ca="1" si="4"/>
        <v>0</v>
      </c>
      <c r="J29" s="12" t="str">
        <f t="shared" ca="1" si="5"/>
        <v>Clothoid</v>
      </c>
      <c r="K29" s="12" t="str">
        <f t="shared" ca="1" si="6"/>
        <v>Linear</v>
      </c>
    </row>
    <row r="30" spans="2:11" ht="30" customHeight="1">
      <c r="B30" s="9">
        <v>24</v>
      </c>
      <c r="C30" s="11">
        <v>7775</v>
      </c>
      <c r="D30" s="12">
        <v>0</v>
      </c>
      <c r="E30" s="12">
        <f t="shared" ca="1" si="1"/>
        <v>662657.27966163377</v>
      </c>
      <c r="F30" s="12">
        <f t="shared" ca="1" si="2"/>
        <v>1520809.3144578252</v>
      </c>
      <c r="G30" s="12">
        <f t="shared" ca="1" si="3"/>
        <v>77.529941158121318</v>
      </c>
      <c r="H30" s="16">
        <f t="shared" ca="1" si="0"/>
        <v>194.53851619383349</v>
      </c>
      <c r="I30" s="14">
        <f t="shared" ca="1" si="4"/>
        <v>0</v>
      </c>
      <c r="J30" s="12" t="str">
        <f t="shared" ca="1" si="5"/>
        <v>Linear</v>
      </c>
      <c r="K30" s="12" t="str">
        <f t="shared" ca="1" si="6"/>
        <v>Linear</v>
      </c>
    </row>
    <row r="31" spans="2:11" ht="30" customHeight="1">
      <c r="B31" s="9">
        <v>25</v>
      </c>
      <c r="C31" s="11">
        <v>7800</v>
      </c>
      <c r="D31" s="12">
        <v>0</v>
      </c>
      <c r="E31" s="12">
        <f t="shared" ca="1" si="1"/>
        <v>662651.00389010785</v>
      </c>
      <c r="F31" s="12">
        <f t="shared" ca="1" si="2"/>
        <v>1520785.1149807284</v>
      </c>
      <c r="G31" s="12">
        <f t="shared" ca="1" si="3"/>
        <v>77.723691170230694</v>
      </c>
      <c r="H31" s="16">
        <f t="shared" ca="1" si="0"/>
        <v>194.53851619383349</v>
      </c>
      <c r="I31" s="14">
        <f t="shared" ca="1" si="4"/>
        <v>0</v>
      </c>
      <c r="J31" s="12" t="str">
        <f t="shared" ca="1" si="5"/>
        <v>Linear</v>
      </c>
      <c r="K31" s="12" t="str">
        <f t="shared" ca="1" si="6"/>
        <v>Linear</v>
      </c>
    </row>
    <row r="32" spans="2:11" ht="30" customHeight="1">
      <c r="B32" s="9">
        <v>26</v>
      </c>
      <c r="C32" s="11">
        <v>7825</v>
      </c>
      <c r="D32" s="12">
        <v>0</v>
      </c>
      <c r="E32" s="12">
        <f t="shared" ca="1" si="1"/>
        <v>662644.74919226754</v>
      </c>
      <c r="F32" s="12">
        <f t="shared" ca="1" si="2"/>
        <v>1520760.9100606644</v>
      </c>
      <c r="G32" s="12">
        <f t="shared" ca="1" si="3"/>
        <v>77.91744118234007</v>
      </c>
      <c r="H32" s="16">
        <f t="shared" ca="1" si="0"/>
        <v>194.35015401874568</v>
      </c>
      <c r="I32" s="14">
        <f t="shared" ca="1" si="4"/>
        <v>0</v>
      </c>
      <c r="J32" s="12" t="str">
        <f t="shared" ca="1" si="5"/>
        <v>Clothoid</v>
      </c>
      <c r="K32" s="12" t="str">
        <f t="shared" ca="1" si="6"/>
        <v>Linear</v>
      </c>
    </row>
    <row r="33" spans="2:11" ht="30" customHeight="1">
      <c r="B33" s="9">
        <v>27</v>
      </c>
      <c r="C33" s="11">
        <v>7850</v>
      </c>
      <c r="D33" s="12">
        <v>0</v>
      </c>
      <c r="E33" s="12">
        <f t="shared" ca="1" si="1"/>
        <v>662638.67430108739</v>
      </c>
      <c r="F33" s="12">
        <f t="shared" ca="1" si="2"/>
        <v>1520736.659490905</v>
      </c>
      <c r="G33" s="12">
        <f t="shared" ca="1" si="3"/>
        <v>78.111191194449447</v>
      </c>
      <c r="H33" s="16">
        <f t="shared" ca="1" si="0"/>
        <v>193.76592690714486</v>
      </c>
      <c r="I33" s="14">
        <f t="shared" ca="1" si="4"/>
        <v>0</v>
      </c>
      <c r="J33" s="12" t="str">
        <f t="shared" ca="1" si="5"/>
        <v>Circular</v>
      </c>
      <c r="K33" s="12" t="str">
        <f t="shared" ca="1" si="6"/>
        <v>Linear</v>
      </c>
    </row>
    <row r="34" spans="2:11" ht="30" customHeight="1">
      <c r="B34" s="9">
        <v>28</v>
      </c>
      <c r="C34" s="11">
        <v>7875</v>
      </c>
      <c r="D34" s="12">
        <v>0</v>
      </c>
      <c r="E34" s="12">
        <f t="shared" ca="1" si="1"/>
        <v>662632.85197611549</v>
      </c>
      <c r="F34" s="12">
        <f t="shared" ca="1" si="2"/>
        <v>1520712.347047989</v>
      </c>
      <c r="G34" s="12">
        <f t="shared" ca="1" si="3"/>
        <v>78.304941206558823</v>
      </c>
      <c r="H34" s="16">
        <f t="shared" ca="1" si="0"/>
        <v>193.16909588715859</v>
      </c>
      <c r="I34" s="14">
        <f t="shared" ca="1" si="4"/>
        <v>0</v>
      </c>
      <c r="J34" s="12" t="str">
        <f t="shared" ca="1" si="5"/>
        <v>Circular</v>
      </c>
      <c r="K34" s="12" t="str">
        <f t="shared" ca="1" si="6"/>
        <v>Linear</v>
      </c>
    </row>
    <row r="35" spans="2:11" ht="30" customHeight="1">
      <c r="B35" s="9">
        <v>29</v>
      </c>
      <c r="C35" s="11">
        <v>7900</v>
      </c>
      <c r="D35" s="12">
        <v>0</v>
      </c>
      <c r="E35" s="12">
        <f t="shared" ca="1" si="1"/>
        <v>662627.25180389499</v>
      </c>
      <c r="F35" s="12">
        <f t="shared" ca="1" si="2"/>
        <v>1520687.9824016853</v>
      </c>
      <c r="G35" s="12">
        <f t="shared" ca="1" si="3"/>
        <v>78.498691218668199</v>
      </c>
      <c r="H35" s="16">
        <f t="shared" ca="1" si="0"/>
        <v>192.81690688637664</v>
      </c>
      <c r="I35" s="14">
        <f t="shared" ca="1" si="4"/>
        <v>0</v>
      </c>
      <c r="J35" s="12" t="str">
        <f t="shared" ca="1" si="5"/>
        <v>Clothoid</v>
      </c>
      <c r="K35" s="12" t="str">
        <f t="shared" ca="1" si="6"/>
        <v>Linear</v>
      </c>
    </row>
    <row r="36" spans="2:11" ht="30" customHeight="1">
      <c r="B36" s="9">
        <v>30</v>
      </c>
      <c r="C36" s="11">
        <v>7925</v>
      </c>
      <c r="D36" s="12">
        <v>0</v>
      </c>
      <c r="E36" s="12">
        <f t="shared" ca="1" si="1"/>
        <v>662621.70699853904</v>
      </c>
      <c r="F36" s="12">
        <f t="shared" ca="1" si="2"/>
        <v>1520663.6050528996</v>
      </c>
      <c r="G36" s="12">
        <f t="shared" ca="1" si="3"/>
        <v>78.692441230777575</v>
      </c>
      <c r="H36" s="16">
        <f t="shared" ca="1" si="0"/>
        <v>192.81423802211259</v>
      </c>
      <c r="I36" s="14">
        <f t="shared" ca="1" si="4"/>
        <v>0</v>
      </c>
      <c r="J36" s="12" t="str">
        <f t="shared" ca="1" si="5"/>
        <v>Linear</v>
      </c>
      <c r="K36" s="12" t="str">
        <f t="shared" ca="1" si="6"/>
        <v>Linear</v>
      </c>
    </row>
    <row r="37" spans="2:11" ht="30" customHeight="1">
      <c r="B37" s="9">
        <v>31</v>
      </c>
      <c r="C37" s="11">
        <v>7950</v>
      </c>
      <c r="D37" s="12">
        <v>0</v>
      </c>
      <c r="E37" s="12">
        <f t="shared" ca="1" si="1"/>
        <v>662616.1622258625</v>
      </c>
      <c r="F37" s="12">
        <f t="shared" ca="1" si="2"/>
        <v>1520639.2276966861</v>
      </c>
      <c r="G37" s="12">
        <f t="shared" ca="1" si="3"/>
        <v>78.863345391503714</v>
      </c>
      <c r="H37" s="16">
        <f t="shared" ca="1" si="0"/>
        <v>192.81423802211259</v>
      </c>
      <c r="I37" s="14">
        <f t="shared" ca="1" si="4"/>
        <v>0</v>
      </c>
      <c r="J37" s="12" t="str">
        <f t="shared" ca="1" si="5"/>
        <v>Linear</v>
      </c>
      <c r="K37" s="12" t="str">
        <f t="shared" ca="1" si="6"/>
        <v>Parabola</v>
      </c>
    </row>
    <row r="38" spans="2:11" ht="30" customHeight="1">
      <c r="B38" s="9">
        <v>32</v>
      </c>
      <c r="C38" s="11">
        <v>7975</v>
      </c>
      <c r="D38" s="12">
        <v>0</v>
      </c>
      <c r="E38" s="12">
        <f t="shared" ca="1" si="1"/>
        <v>662610.51053389767</v>
      </c>
      <c r="F38" s="12">
        <f t="shared" ca="1" si="2"/>
        <v>1520614.8754748716</v>
      </c>
      <c r="G38" s="12">
        <f t="shared" ca="1" si="3"/>
        <v>78.966268165793537</v>
      </c>
      <c r="H38" s="16">
        <f t="shared" ca="1" si="0"/>
        <v>194.19607407452364</v>
      </c>
      <c r="I38" s="14">
        <f t="shared" ca="1" si="4"/>
        <v>30.361618297728356</v>
      </c>
      <c r="J38" s="12" t="str">
        <f t="shared" ca="1" si="5"/>
        <v>Clothoid</v>
      </c>
      <c r="K38" s="12" t="str">
        <f t="shared" ca="1" si="6"/>
        <v>Parabola</v>
      </c>
    </row>
    <row r="39" spans="2:11" ht="30" customHeight="1">
      <c r="B39" s="9">
        <v>33</v>
      </c>
      <c r="C39" s="11">
        <v>8000</v>
      </c>
      <c r="D39" s="12">
        <v>0</v>
      </c>
      <c r="E39" s="12">
        <f t="shared" ca="1" si="1"/>
        <v>662603.04032851022</v>
      </c>
      <c r="F39" s="12">
        <f t="shared" ca="1" si="2"/>
        <v>1520591.0322088234</v>
      </c>
      <c r="G39" s="12">
        <f t="shared" ca="1" si="3"/>
        <v>79</v>
      </c>
      <c r="H39" s="16">
        <f t="shared" ca="1" si="0"/>
        <v>200.71911744254405</v>
      </c>
      <c r="I39" s="14">
        <f t="shared" ca="1" si="4"/>
        <v>40</v>
      </c>
      <c r="J39" s="12" t="str">
        <f t="shared" ca="1" si="5"/>
        <v>Circular</v>
      </c>
      <c r="K39" s="12" t="str">
        <f t="shared" ca="1" si="6"/>
        <v>Linear</v>
      </c>
    </row>
    <row r="40" spans="2:11" ht="30" customHeight="1">
      <c r="B40" s="9">
        <v>34</v>
      </c>
      <c r="C40" s="11">
        <v>8025</v>
      </c>
      <c r="D40" s="12">
        <v>0</v>
      </c>
      <c r="E40" s="12">
        <f t="shared" ca="1" si="1"/>
        <v>662593.41139419249</v>
      </c>
      <c r="F40" s="12">
        <f t="shared" ca="1" si="2"/>
        <v>1520567.9633099094</v>
      </c>
      <c r="G40" s="12">
        <f t="shared" ca="1" si="3"/>
        <v>79</v>
      </c>
      <c r="H40" s="16">
        <f t="shared" ca="1" si="0"/>
        <v>203.05476643135125</v>
      </c>
      <c r="I40" s="14">
        <f t="shared" ca="1" si="4"/>
        <v>13.724440239683544</v>
      </c>
      <c r="J40" s="12" t="str">
        <f t="shared" ca="1" si="5"/>
        <v>Clothoid</v>
      </c>
      <c r="K40" s="12" t="str">
        <f t="shared" ca="1" si="6"/>
        <v>Linear</v>
      </c>
    </row>
    <row r="41" spans="2:11" ht="30" customHeight="1">
      <c r="B41" s="9">
        <v>35</v>
      </c>
      <c r="C41" s="11">
        <v>8050</v>
      </c>
      <c r="D41" s="12">
        <v>0</v>
      </c>
      <c r="E41" s="12">
        <f t="shared" ca="1" si="1"/>
        <v>662584.62115632521</v>
      </c>
      <c r="F41" s="12">
        <f t="shared" ca="1" si="2"/>
        <v>1520544.5716125965</v>
      </c>
      <c r="G41" s="12">
        <f t="shared" ca="1" si="3"/>
        <v>79</v>
      </c>
      <c r="H41" s="16">
        <f t="shared" ca="1" si="0"/>
        <v>197.42739593884102</v>
      </c>
      <c r="I41" s="14">
        <f t="shared" ca="1" si="4"/>
        <v>40</v>
      </c>
      <c r="J41" s="12" t="str">
        <f t="shared" ca="1" si="5"/>
        <v>Circular</v>
      </c>
      <c r="K41" s="12" t="str">
        <f t="shared" ca="1" si="6"/>
        <v>Linear</v>
      </c>
    </row>
    <row r="42" spans="2:11" ht="30" customHeight="1">
      <c r="B42" s="9">
        <v>36</v>
      </c>
      <c r="C42" s="11">
        <v>8075</v>
      </c>
      <c r="D42" s="12">
        <v>0</v>
      </c>
      <c r="E42" s="12">
        <f t="shared" ca="1" si="1"/>
        <v>662578.20966520393</v>
      </c>
      <c r="F42" s="12">
        <f t="shared" ca="1" si="2"/>
        <v>1520520.4131029285</v>
      </c>
      <c r="G42" s="12">
        <f t="shared" ca="1" si="3"/>
        <v>79</v>
      </c>
      <c r="H42" s="16">
        <f t="shared" ca="1" si="0"/>
        <v>193.6466376681802</v>
      </c>
      <c r="I42" s="14">
        <f t="shared" ca="1" si="4"/>
        <v>0</v>
      </c>
      <c r="J42" s="12" t="str">
        <f t="shared" ca="1" si="5"/>
        <v>Linear</v>
      </c>
      <c r="K42" s="12" t="str">
        <f t="shared" ca="1" si="6"/>
        <v>Linear</v>
      </c>
    </row>
    <row r="43" spans="2:11" ht="30" customHeight="1">
      <c r="B43" s="9">
        <v>37</v>
      </c>
      <c r="C43" s="11">
        <v>8100</v>
      </c>
      <c r="D43" s="12">
        <v>0</v>
      </c>
      <c r="E43" s="12">
        <f t="shared" ca="1" si="1"/>
        <v>662572.31133309961</v>
      </c>
      <c r="F43" s="12">
        <f t="shared" ca="1" si="2"/>
        <v>1520496.1188715477</v>
      </c>
      <c r="G43" s="12">
        <f t="shared" ca="1" si="3"/>
        <v>79</v>
      </c>
      <c r="H43" s="16">
        <f t="shared" ca="1" si="0"/>
        <v>193.6466376681802</v>
      </c>
      <c r="I43" s="14">
        <f t="shared" ca="1" si="4"/>
        <v>0</v>
      </c>
      <c r="J43" s="12" t="str">
        <f t="shared" ca="1" si="5"/>
        <v>Linear</v>
      </c>
      <c r="K43" s="12" t="str">
        <f t="shared" ca="1" si="6"/>
        <v>Linear</v>
      </c>
    </row>
    <row r="44" spans="2:11" ht="30" customHeight="1">
      <c r="B44" s="9">
        <v>38</v>
      </c>
      <c r="C44" s="11">
        <v>8125</v>
      </c>
      <c r="D44" s="12">
        <v>0</v>
      </c>
      <c r="E44" s="12">
        <f t="shared" ca="1" si="1"/>
        <v>662566.41300099541</v>
      </c>
      <c r="F44" s="12">
        <f t="shared" ca="1" si="2"/>
        <v>1520471.8246401667</v>
      </c>
      <c r="G44" s="12">
        <f t="shared" ca="1" si="3"/>
        <v>79</v>
      </c>
      <c r="H44" s="16">
        <f t="shared" ca="1" si="0"/>
        <v>193.6466376681802</v>
      </c>
      <c r="I44" s="14">
        <f t="shared" ca="1" si="4"/>
        <v>0</v>
      </c>
      <c r="J44" s="12" t="str">
        <f t="shared" ca="1" si="5"/>
        <v>Linear</v>
      </c>
      <c r="K44" s="12" t="str">
        <f t="shared" ca="1" si="6"/>
        <v>Linear</v>
      </c>
    </row>
    <row r="45" spans="2:11" ht="30" customHeight="1">
      <c r="B45" s="9">
        <v>39</v>
      </c>
      <c r="C45" s="11">
        <v>8150</v>
      </c>
      <c r="D45" s="12">
        <v>0</v>
      </c>
      <c r="E45" s="12">
        <f t="shared" ca="1" si="1"/>
        <v>662560.51466889121</v>
      </c>
      <c r="F45" s="12">
        <f t="shared" ca="1" si="2"/>
        <v>1520447.5304087859</v>
      </c>
      <c r="G45" s="12">
        <f t="shared" ca="1" si="3"/>
        <v>79</v>
      </c>
      <c r="H45" s="16">
        <f t="shared" ca="1" si="0"/>
        <v>193.6466376681802</v>
      </c>
      <c r="I45" s="14">
        <f t="shared" ca="1" si="4"/>
        <v>0</v>
      </c>
      <c r="J45" s="12" t="str">
        <f t="shared" ca="1" si="5"/>
        <v>Linear</v>
      </c>
      <c r="K45" s="12" t="str">
        <f t="shared" ca="1" si="6"/>
        <v>Linear</v>
      </c>
    </row>
    <row r="46" spans="2:11" ht="30" customHeight="1">
      <c r="B46" s="9">
        <v>40</v>
      </c>
      <c r="C46" s="11">
        <v>8175</v>
      </c>
      <c r="D46" s="12">
        <v>0</v>
      </c>
      <c r="E46" s="12">
        <f t="shared" ca="1" si="1"/>
        <v>662554.616336787</v>
      </c>
      <c r="F46" s="12">
        <f t="shared" ca="1" si="2"/>
        <v>1520423.2361774051</v>
      </c>
      <c r="G46" s="12">
        <f t="shared" ca="1" si="3"/>
        <v>79</v>
      </c>
      <c r="H46" s="16">
        <f t="shared" ca="1" si="0"/>
        <v>193.6466376681802</v>
      </c>
      <c r="I46" s="14">
        <f t="shared" ca="1" si="4"/>
        <v>0</v>
      </c>
      <c r="J46" s="12" t="str">
        <f t="shared" ca="1" si="5"/>
        <v>Linear</v>
      </c>
      <c r="K46" s="12" t="str">
        <f t="shared" ca="1" si="6"/>
        <v>Linear</v>
      </c>
    </row>
    <row r="47" spans="2:11" ht="30" customHeight="1">
      <c r="B47" s="9">
        <v>41</v>
      </c>
      <c r="C47" s="11">
        <v>8200</v>
      </c>
      <c r="D47" s="12">
        <v>0</v>
      </c>
      <c r="E47" s="12">
        <f t="shared" ca="1" si="1"/>
        <v>662548.7180046828</v>
      </c>
      <c r="F47" s="12">
        <f t="shared" ca="1" si="2"/>
        <v>1520398.9419460241</v>
      </c>
      <c r="G47" s="12">
        <f t="shared" ca="1" si="3"/>
        <v>79</v>
      </c>
      <c r="H47" s="16">
        <f t="shared" ca="1" si="0"/>
        <v>193.6466376681802</v>
      </c>
      <c r="I47" s="14">
        <f t="shared" ca="1" si="4"/>
        <v>0</v>
      </c>
      <c r="J47" s="12" t="str">
        <f t="shared" ca="1" si="5"/>
        <v>Linear</v>
      </c>
      <c r="K47" s="12" t="str">
        <f t="shared" ca="1" si="6"/>
        <v>Linear</v>
      </c>
    </row>
    <row r="48" spans="2:11" ht="30" customHeight="1">
      <c r="B48" s="9">
        <v>42</v>
      </c>
      <c r="C48" s="11">
        <v>8225</v>
      </c>
      <c r="D48" s="12">
        <v>0</v>
      </c>
      <c r="E48" s="12">
        <f t="shared" ca="1" si="1"/>
        <v>662542.8196725786</v>
      </c>
      <c r="F48" s="12">
        <f t="shared" ca="1" si="2"/>
        <v>1520374.6477146433</v>
      </c>
      <c r="G48" s="12">
        <f t="shared" ca="1" si="3"/>
        <v>79</v>
      </c>
      <c r="H48" s="16">
        <f t="shared" ca="1" si="0"/>
        <v>193.6466376681802</v>
      </c>
      <c r="I48" s="14">
        <f t="shared" ca="1" si="4"/>
        <v>0</v>
      </c>
      <c r="J48" s="12" t="str">
        <f t="shared" ca="1" si="5"/>
        <v>Linear</v>
      </c>
      <c r="K48" s="12" t="str">
        <f t="shared" ca="1" si="6"/>
        <v>Linear</v>
      </c>
    </row>
    <row r="49" spans="2:11" ht="30" customHeight="1">
      <c r="B49" s="9">
        <v>43</v>
      </c>
      <c r="C49" s="11">
        <v>8250</v>
      </c>
      <c r="D49" s="12">
        <v>0</v>
      </c>
      <c r="E49" s="12">
        <f t="shared" ca="1" si="1"/>
        <v>662536.92134047439</v>
      </c>
      <c r="F49" s="12">
        <f t="shared" ca="1" si="2"/>
        <v>1520350.3534832622</v>
      </c>
      <c r="G49" s="12">
        <f t="shared" ca="1" si="3"/>
        <v>79</v>
      </c>
      <c r="H49" s="16">
        <f t="shared" ca="1" si="0"/>
        <v>193.6466376681802</v>
      </c>
      <c r="I49" s="14">
        <f t="shared" ca="1" si="4"/>
        <v>0</v>
      </c>
      <c r="J49" s="12" t="str">
        <f t="shared" ca="1" si="5"/>
        <v>Linear</v>
      </c>
      <c r="K49" s="12" t="str">
        <f t="shared" ca="1" si="6"/>
        <v>Linear</v>
      </c>
    </row>
    <row r="50" spans="2:11" ht="30" customHeight="1">
      <c r="B50" s="9">
        <v>44</v>
      </c>
      <c r="C50" s="11">
        <v>8275</v>
      </c>
      <c r="D50" s="12">
        <v>0</v>
      </c>
      <c r="E50" s="12">
        <f t="shared" ca="1" si="1"/>
        <v>662531.02300837019</v>
      </c>
      <c r="F50" s="12">
        <f t="shared" ca="1" si="2"/>
        <v>1520326.0592518814</v>
      </c>
      <c r="G50" s="12">
        <f t="shared" ca="1" si="3"/>
        <v>79</v>
      </c>
      <c r="H50" s="16">
        <f t="shared" ca="1" si="0"/>
        <v>193.6466376681802</v>
      </c>
      <c r="I50" s="14">
        <f t="shared" ca="1" si="4"/>
        <v>0</v>
      </c>
      <c r="J50" s="12" t="str">
        <f t="shared" ca="1" si="5"/>
        <v>Linear</v>
      </c>
      <c r="K50" s="12" t="str">
        <f t="shared" ca="1" si="6"/>
        <v>Linear</v>
      </c>
    </row>
    <row r="51" spans="2:11" ht="30" customHeight="1">
      <c r="B51" s="9">
        <v>45</v>
      </c>
      <c r="C51" s="11">
        <v>8300</v>
      </c>
      <c r="D51" s="12">
        <v>0</v>
      </c>
      <c r="E51" s="12">
        <f t="shared" ca="1" si="1"/>
        <v>662525.50358121854</v>
      </c>
      <c r="F51" s="12">
        <f t="shared" ca="1" si="2"/>
        <v>1520301.6773231716</v>
      </c>
      <c r="G51" s="12">
        <f t="shared" ca="1" si="3"/>
        <v>79</v>
      </c>
      <c r="H51" s="16">
        <f t="shared" ca="1" si="0"/>
        <v>191.80146941661462</v>
      </c>
      <c r="I51" s="14">
        <f t="shared" ca="1" si="4"/>
        <v>0</v>
      </c>
      <c r="J51" s="12" t="str">
        <f t="shared" ca="1" si="5"/>
        <v>Circular</v>
      </c>
      <c r="K51" s="12" t="str">
        <f t="shared" ca="1" si="6"/>
        <v>Linear</v>
      </c>
    </row>
    <row r="52" spans="2:11" ht="30" customHeight="1">
      <c r="B52" s="9">
        <v>46</v>
      </c>
      <c r="C52" s="11">
        <v>8325</v>
      </c>
      <c r="D52" s="12">
        <v>0</v>
      </c>
      <c r="E52" s="12">
        <f t="shared" ca="1" si="1"/>
        <v>662520.73094935459</v>
      </c>
      <c r="F52" s="12">
        <f t="shared" ca="1" si="2"/>
        <v>1520277.1376545965</v>
      </c>
      <c r="G52" s="12">
        <f t="shared" ca="1" si="3"/>
        <v>79</v>
      </c>
      <c r="H52" s="16">
        <f t="shared" ca="1" si="0"/>
        <v>190.67172268622906</v>
      </c>
      <c r="I52" s="14">
        <f t="shared" ca="1" si="4"/>
        <v>0</v>
      </c>
      <c r="J52" s="12" t="str">
        <f t="shared" ca="1" si="5"/>
        <v>Linear</v>
      </c>
      <c r="K52" s="12" t="str">
        <f t="shared" ca="1" si="6"/>
        <v>Linear</v>
      </c>
    </row>
    <row r="53" spans="2:11" ht="30" customHeight="1">
      <c r="B53" s="9">
        <v>47</v>
      </c>
      <c r="C53" s="11">
        <v>8350</v>
      </c>
      <c r="D53" s="12">
        <v>0</v>
      </c>
      <c r="E53" s="12">
        <f t="shared" ca="1" si="1"/>
        <v>662516.10140603676</v>
      </c>
      <c r="F53" s="12">
        <f t="shared" ca="1" si="2"/>
        <v>1520252.5700472922</v>
      </c>
      <c r="G53" s="12">
        <f t="shared" ca="1" si="3"/>
        <v>79</v>
      </c>
      <c r="H53" s="16">
        <f t="shared" ca="1" si="0"/>
        <v>190.67172268622906</v>
      </c>
      <c r="I53" s="14">
        <f t="shared" ca="1" si="4"/>
        <v>0</v>
      </c>
      <c r="J53" s="12" t="str">
        <f t="shared" ca="1" si="5"/>
        <v>Linear</v>
      </c>
      <c r="K53" s="12" t="str">
        <f t="shared" ca="1" si="6"/>
        <v>Linear</v>
      </c>
    </row>
    <row r="54" spans="2:11" ht="30" customHeight="1">
      <c r="B54" s="9">
        <v>48</v>
      </c>
      <c r="C54" s="11">
        <v>8375</v>
      </c>
      <c r="D54" s="12">
        <v>0</v>
      </c>
      <c r="E54" s="12">
        <f t="shared" ca="1" si="1"/>
        <v>662511.47027988802</v>
      </c>
      <c r="F54" s="12">
        <f t="shared" ca="1" si="2"/>
        <v>1520228.002738741</v>
      </c>
      <c r="G54" s="12">
        <f t="shared" ca="1" si="3"/>
        <v>78.995703927651761</v>
      </c>
      <c r="H54" s="16">
        <f t="shared" ca="1" si="0"/>
        <v>190.72794230683985</v>
      </c>
      <c r="I54" s="14">
        <f t="shared" ca="1" si="4"/>
        <v>11.099182786551864</v>
      </c>
      <c r="J54" s="12" t="str">
        <f t="shared" ca="1" si="5"/>
        <v>Clothoid</v>
      </c>
      <c r="K54" s="12" t="str">
        <f t="shared" ca="1" si="6"/>
        <v>Parabola</v>
      </c>
    </row>
    <row r="55" spans="2:11" ht="30" customHeight="1">
      <c r="B55" s="9">
        <v>49</v>
      </c>
      <c r="C55" s="11">
        <v>8400</v>
      </c>
      <c r="D55" s="12">
        <v>0</v>
      </c>
      <c r="E55" s="12">
        <f t="shared" ca="1" si="1"/>
        <v>662506.50170675083</v>
      </c>
      <c r="F55" s="12">
        <f t="shared" ca="1" si="2"/>
        <v>1520203.5026003879</v>
      </c>
      <c r="G55" s="12">
        <f t="shared" ca="1" si="3"/>
        <v>78.842975720994374</v>
      </c>
      <c r="H55" s="16">
        <f t="shared" ca="1" si="0"/>
        <v>192.51377916068355</v>
      </c>
      <c r="I55" s="14">
        <f t="shared" ca="1" si="4"/>
        <v>45</v>
      </c>
      <c r="J55" s="12" t="str">
        <f t="shared" ca="1" si="5"/>
        <v>Circular</v>
      </c>
      <c r="K55" s="12" t="str">
        <f t="shared" ca="1" si="6"/>
        <v>Parabola</v>
      </c>
    </row>
    <row r="56" spans="2:11" ht="30" customHeight="1">
      <c r="B56" s="9">
        <v>50</v>
      </c>
      <c r="C56" s="11">
        <v>8425</v>
      </c>
      <c r="D56" s="12">
        <v>0</v>
      </c>
      <c r="E56" s="12">
        <f t="shared" ca="1" si="1"/>
        <v>662500.60298973054</v>
      </c>
      <c r="F56" s="12">
        <f t="shared" ca="1" si="2"/>
        <v>1520179.2100588856</v>
      </c>
      <c r="G56" s="12">
        <f t="shared" ca="1" si="3"/>
        <v>78.471498113520326</v>
      </c>
      <c r="H56" s="16">
        <f t="shared" ca="1" si="0"/>
        <v>194.64785385376842</v>
      </c>
      <c r="I56" s="14">
        <f t="shared" ca="1" si="4"/>
        <v>25.348386041288904</v>
      </c>
      <c r="J56" s="12" t="str">
        <f t="shared" ca="1" si="5"/>
        <v>Clothoid</v>
      </c>
      <c r="K56" s="12" t="str">
        <f t="shared" ca="1" si="6"/>
        <v>Parabola</v>
      </c>
    </row>
    <row r="57" spans="2:11" ht="30" customHeight="1">
      <c r="B57" s="9">
        <v>51</v>
      </c>
      <c r="C57" s="11">
        <v>8450</v>
      </c>
      <c r="D57" s="12">
        <v>0</v>
      </c>
      <c r="E57" s="12">
        <f t="shared" ca="1" si="1"/>
        <v>662494.17592643877</v>
      </c>
      <c r="F57" s="12">
        <f t="shared" ca="1" si="2"/>
        <v>1520155.0503455023</v>
      </c>
      <c r="G57" s="12">
        <f t="shared" ca="1" si="3"/>
        <v>77.881271105229615</v>
      </c>
      <c r="H57" s="16">
        <f t="shared" ca="1" si="0"/>
        <v>194.94108256480718</v>
      </c>
      <c r="I57" s="14">
        <f t="shared" ca="1" si="4"/>
        <v>0</v>
      </c>
      <c r="J57" s="12" t="str">
        <f t="shared" ca="1" si="5"/>
        <v>Linear</v>
      </c>
      <c r="K57" s="12" t="str">
        <f t="shared" ca="1" si="6"/>
        <v>Parabola</v>
      </c>
    </row>
    <row r="58" spans="2:11" ht="30" customHeight="1">
      <c r="B58" s="9">
        <v>52</v>
      </c>
      <c r="C58" s="11">
        <v>8475</v>
      </c>
      <c r="D58" s="12">
        <v>0</v>
      </c>
      <c r="E58" s="12">
        <f t="shared" ca="1" si="1"/>
        <v>662487.73028305708</v>
      </c>
      <c r="F58" s="12">
        <f t="shared" ca="1" si="2"/>
        <v>1520130.8955596122</v>
      </c>
      <c r="G58" s="12">
        <f t="shared" ca="1" si="3"/>
        <v>77.076590768470481</v>
      </c>
      <c r="H58" s="16">
        <f t="shared" ca="1" si="0"/>
        <v>194.94108256480718</v>
      </c>
      <c r="I58" s="14">
        <f t="shared" ca="1" si="4"/>
        <v>0</v>
      </c>
      <c r="J58" s="12" t="str">
        <f t="shared" ca="1" si="5"/>
        <v>Linear</v>
      </c>
      <c r="K58" s="12" t="str">
        <f t="shared" ca="1" si="6"/>
        <v>Linear</v>
      </c>
    </row>
    <row r="59" spans="2:11" ht="30" customHeight="1">
      <c r="B59" s="9">
        <v>53</v>
      </c>
      <c r="C59" s="11">
        <v>8500</v>
      </c>
      <c r="D59" s="12">
        <v>0</v>
      </c>
      <c r="E59" s="12">
        <f t="shared" ca="1" si="1"/>
        <v>662481.28463967529</v>
      </c>
      <c r="F59" s="12">
        <f t="shared" ca="1" si="2"/>
        <v>1520106.7407737221</v>
      </c>
      <c r="G59" s="12">
        <f t="shared" ca="1" si="3"/>
        <v>76.201593165203832</v>
      </c>
      <c r="H59" s="16">
        <f t="shared" ca="1" si="0"/>
        <v>194.94108256480718</v>
      </c>
      <c r="I59" s="14">
        <f t="shared" ca="1" si="4"/>
        <v>0</v>
      </c>
      <c r="J59" s="12" t="str">
        <f t="shared" ca="1" si="5"/>
        <v>Linear</v>
      </c>
      <c r="K59" s="12" t="str">
        <f t="shared" ca="1" si="6"/>
        <v>Linear</v>
      </c>
    </row>
    <row r="60" spans="2:11" ht="30" customHeight="1">
      <c r="B60" s="9">
        <v>54</v>
      </c>
      <c r="C60" s="11">
        <v>8525</v>
      </c>
      <c r="D60" s="12">
        <v>0</v>
      </c>
      <c r="E60" s="12">
        <f t="shared" ca="1" si="1"/>
        <v>662474.78563097119</v>
      </c>
      <c r="F60" s="12">
        <f t="shared" ca="1" si="2"/>
        <v>1520082.6004066246</v>
      </c>
      <c r="G60" s="12">
        <f t="shared" ca="1" si="3"/>
        <v>75.326595561937182</v>
      </c>
      <c r="H60" s="16">
        <f t="shared" ca="1" si="0"/>
        <v>195.5365599695966</v>
      </c>
      <c r="I60" s="14">
        <f t="shared" ca="1" si="4"/>
        <v>31.914230041689734</v>
      </c>
      <c r="J60" s="12" t="str">
        <f t="shared" ca="1" si="5"/>
        <v>Clothoid</v>
      </c>
      <c r="K60" s="12" t="str">
        <f t="shared" ca="1" si="6"/>
        <v>Linear</v>
      </c>
    </row>
    <row r="61" spans="2:11" ht="30" customHeight="1">
      <c r="B61" s="9">
        <v>55</v>
      </c>
      <c r="C61" s="11">
        <v>8550</v>
      </c>
      <c r="D61" s="12">
        <v>0</v>
      </c>
      <c r="E61" s="12">
        <f t="shared" ca="1" si="1"/>
        <v>662467.49544808536</v>
      </c>
      <c r="F61" s="12">
        <f t="shared" ca="1" si="2"/>
        <v>1520058.6906737071</v>
      </c>
      <c r="G61" s="12">
        <f t="shared" ca="1" si="3"/>
        <v>74.451597958670547</v>
      </c>
      <c r="H61" s="16">
        <f t="shared" ca="1" si="0"/>
        <v>198.86405495416949</v>
      </c>
      <c r="I61" s="14">
        <f t="shared" ca="1" si="4"/>
        <v>81.914230041689734</v>
      </c>
      <c r="J61" s="12" t="str">
        <f t="shared" ca="1" si="5"/>
        <v>Clothoid</v>
      </c>
      <c r="K61" s="12" t="str">
        <f t="shared" ca="1" si="6"/>
        <v>Linear</v>
      </c>
    </row>
    <row r="62" spans="2:11" ht="30" customHeight="1">
      <c r="B62" s="9">
        <v>56</v>
      </c>
      <c r="C62" s="11">
        <v>8575</v>
      </c>
      <c r="D62" s="12">
        <v>0</v>
      </c>
      <c r="E62" s="12">
        <f t="shared" ca="1" si="1"/>
        <v>662458.28842512495</v>
      </c>
      <c r="F62" s="12">
        <f t="shared" ca="1" si="2"/>
        <v>1520035.4590317106</v>
      </c>
      <c r="G62" s="12">
        <f t="shared" ca="1" si="3"/>
        <v>73.576600355403897</v>
      </c>
      <c r="H62" s="16">
        <f t="shared" ca="1" si="0"/>
        <v>204.51932635108017</v>
      </c>
      <c r="I62" s="14">
        <f t="shared" ca="1" si="4"/>
        <v>100</v>
      </c>
      <c r="J62" s="12" t="str">
        <f t="shared" ca="1" si="5"/>
        <v>Circular</v>
      </c>
      <c r="K62" s="12" t="str">
        <f t="shared" ca="1" si="6"/>
        <v>Linear</v>
      </c>
    </row>
    <row r="63" spans="2:11" ht="30" customHeight="1">
      <c r="B63" s="9">
        <v>57</v>
      </c>
      <c r="C63" s="11">
        <v>8600</v>
      </c>
      <c r="D63" s="12">
        <v>0</v>
      </c>
      <c r="E63" s="12">
        <f t="shared" ca="1" si="1"/>
        <v>662446.80533697584</v>
      </c>
      <c r="F63" s="12">
        <f t="shared" ca="1" si="2"/>
        <v>1520013.2630080611</v>
      </c>
      <c r="G63" s="12">
        <f t="shared" ca="1" si="3"/>
        <v>72.701602752137248</v>
      </c>
      <c r="H63" s="16">
        <f t="shared" ca="1" si="0"/>
        <v>209.89924831279939</v>
      </c>
      <c r="I63" s="14">
        <f t="shared" ca="1" si="4"/>
        <v>71.750028158898203</v>
      </c>
      <c r="J63" s="12" t="str">
        <f t="shared" ca="1" si="5"/>
        <v>Clothoid</v>
      </c>
      <c r="K63" s="12" t="str">
        <f t="shared" ca="1" si="6"/>
        <v>Linear</v>
      </c>
    </row>
    <row r="64" spans="2:11" ht="30" customHeight="1">
      <c r="B64" s="9">
        <v>58</v>
      </c>
      <c r="C64" s="11">
        <v>8625</v>
      </c>
      <c r="D64" s="12">
        <v>0</v>
      </c>
      <c r="E64" s="12">
        <f t="shared" ca="1" si="1"/>
        <v>662433.74060677958</v>
      </c>
      <c r="F64" s="12">
        <f t="shared" ca="1" si="2"/>
        <v>1519991.9512261152</v>
      </c>
      <c r="G64" s="12">
        <f t="shared" ca="1" si="3"/>
        <v>71.826605148870598</v>
      </c>
      <c r="H64" s="16">
        <f t="shared" ca="1" si="0"/>
        <v>212.63249242615078</v>
      </c>
      <c r="I64" s="14">
        <f t="shared" ca="1" si="4"/>
        <v>21.750028158898203</v>
      </c>
      <c r="J64" s="12" t="str">
        <f t="shared" ca="1" si="5"/>
        <v>Clothoid</v>
      </c>
      <c r="K64" s="12" t="str">
        <f t="shared" ca="1" si="6"/>
        <v>Linear</v>
      </c>
    </row>
    <row r="65" spans="2:11" ht="30" customHeight="1">
      <c r="B65" s="9">
        <v>59</v>
      </c>
      <c r="C65" s="11">
        <v>8650</v>
      </c>
      <c r="D65" s="12">
        <v>0</v>
      </c>
      <c r="E65" s="12">
        <f t="shared" ca="1" si="1"/>
        <v>662420.17263188353</v>
      </c>
      <c r="F65" s="12">
        <f t="shared" ca="1" si="2"/>
        <v>1519970.9533908917</v>
      </c>
      <c r="G65" s="12">
        <f t="shared" ca="1" si="3"/>
        <v>70.951607545603963</v>
      </c>
      <c r="H65" s="16">
        <f t="shared" ca="1" si="0"/>
        <v>212.90906935073286</v>
      </c>
      <c r="I65" s="14">
        <f t="shared" ca="1" si="4"/>
        <v>0</v>
      </c>
      <c r="J65" s="12" t="str">
        <f t="shared" ca="1" si="5"/>
        <v>Linear</v>
      </c>
      <c r="K65" s="12" t="str">
        <f t="shared" ca="1" si="6"/>
        <v>Linear</v>
      </c>
    </row>
    <row r="66" spans="2:11" ht="30" customHeight="1">
      <c r="B66" s="9">
        <v>60</v>
      </c>
      <c r="C66" s="11">
        <v>8675</v>
      </c>
      <c r="D66" s="12">
        <v>0</v>
      </c>
      <c r="E66" s="12">
        <f t="shared" ca="1" si="1"/>
        <v>662406.58994604822</v>
      </c>
      <c r="F66" s="12">
        <f t="shared" ca="1" si="2"/>
        <v>1519949.9650454235</v>
      </c>
      <c r="G66" s="12">
        <f t="shared" ca="1" si="3"/>
        <v>70.076609942337313</v>
      </c>
      <c r="H66" s="16">
        <f t="shared" ca="1" si="0"/>
        <v>212.90906935073286</v>
      </c>
      <c r="I66" s="14">
        <f t="shared" ca="1" si="4"/>
        <v>0</v>
      </c>
      <c r="J66" s="12" t="str">
        <f t="shared" ca="1" si="5"/>
        <v>Linear</v>
      </c>
      <c r="K66" s="12" t="str">
        <f t="shared" ca="1" si="6"/>
        <v>Linear</v>
      </c>
    </row>
    <row r="67" spans="2:11" ht="30" customHeight="1">
      <c r="B67" s="9">
        <v>61</v>
      </c>
      <c r="C67" s="11">
        <v>8700</v>
      </c>
      <c r="D67" s="12">
        <v>0</v>
      </c>
      <c r="E67" s="12">
        <f t="shared" ca="1" si="1"/>
        <v>662393.00726021291</v>
      </c>
      <c r="F67" s="12">
        <f t="shared" ca="1" si="2"/>
        <v>1519928.9766999551</v>
      </c>
      <c r="G67" s="12">
        <f t="shared" ca="1" si="3"/>
        <v>69.231963757325573</v>
      </c>
      <c r="H67" s="16">
        <f t="shared" ca="1" si="0"/>
        <v>212.90906935073286</v>
      </c>
      <c r="I67" s="14">
        <f t="shared" ca="1" si="4"/>
        <v>0</v>
      </c>
      <c r="J67" s="12" t="str">
        <f t="shared" ca="1" si="5"/>
        <v>Linear</v>
      </c>
      <c r="K67" s="12" t="str">
        <f t="shared" ca="1" si="6"/>
        <v>Parabola</v>
      </c>
    </row>
    <row r="68" spans="2:11" ht="30" customHeight="1">
      <c r="B68" s="9">
        <v>62</v>
      </c>
      <c r="C68" s="11">
        <v>8725</v>
      </c>
      <c r="D68" s="12">
        <v>0</v>
      </c>
      <c r="E68" s="12">
        <f t="shared" ca="1" si="1"/>
        <v>662379.42457437748</v>
      </c>
      <c r="F68" s="12">
        <f t="shared" ca="1" si="2"/>
        <v>1519907.9883544866</v>
      </c>
      <c r="G68" s="12">
        <f t="shared" ca="1" si="3"/>
        <v>68.477854497012487</v>
      </c>
      <c r="H68" s="16">
        <f t="shared" ca="1" si="0"/>
        <v>212.90906935073286</v>
      </c>
      <c r="I68" s="14">
        <f t="shared" ca="1" si="4"/>
        <v>0</v>
      </c>
      <c r="J68" s="12" t="str">
        <f t="shared" ca="1" si="5"/>
        <v>Linear</v>
      </c>
      <c r="K68" s="12" t="str">
        <f t="shared" ca="1" si="6"/>
        <v>Linear</v>
      </c>
    </row>
    <row r="69" spans="2:11" ht="30" customHeight="1">
      <c r="B69" s="9">
        <v>63</v>
      </c>
      <c r="C69" s="11">
        <v>8750</v>
      </c>
      <c r="D69" s="12">
        <v>0</v>
      </c>
      <c r="E69" s="12">
        <f t="shared" ca="1" si="1"/>
        <v>662365.84188854217</v>
      </c>
      <c r="F69" s="12">
        <f t="shared" ca="1" si="2"/>
        <v>1519887.0000090185</v>
      </c>
      <c r="G69" s="12">
        <f t="shared" ca="1" si="3"/>
        <v>67.735352269198302</v>
      </c>
      <c r="H69" s="16">
        <f t="shared" ca="1" si="0"/>
        <v>212.90906935073286</v>
      </c>
      <c r="I69" s="14">
        <f t="shared" ca="1" si="4"/>
        <v>0</v>
      </c>
      <c r="J69" s="12" t="str">
        <f t="shared" ca="1" si="5"/>
        <v>Linear</v>
      </c>
      <c r="K69" s="12" t="str">
        <f t="shared" ca="1" si="6"/>
        <v>Linear</v>
      </c>
    </row>
    <row r="70" spans="2:11" ht="30" customHeight="1">
      <c r="B70" s="9">
        <v>64</v>
      </c>
      <c r="C70" s="11">
        <v>8775</v>
      </c>
      <c r="D70" s="12">
        <v>0</v>
      </c>
      <c r="E70" s="12">
        <f t="shared" ca="1" si="1"/>
        <v>662352.25920270686</v>
      </c>
      <c r="F70" s="12">
        <f t="shared" ca="1" si="2"/>
        <v>1519866.01166355</v>
      </c>
      <c r="G70" s="12">
        <f t="shared" ca="1" si="3"/>
        <v>66.992850041384116</v>
      </c>
      <c r="H70" s="16">
        <f t="shared" ca="1" si="0"/>
        <v>212.90906935073286</v>
      </c>
      <c r="I70" s="14">
        <f t="shared" ca="1" si="4"/>
        <v>0</v>
      </c>
      <c r="J70" s="12" t="str">
        <f t="shared" ca="1" si="5"/>
        <v>Linear</v>
      </c>
      <c r="K70" s="12" t="str">
        <f t="shared" ca="1" si="6"/>
        <v>Linear</v>
      </c>
    </row>
    <row r="71" spans="2:11" ht="30" customHeight="1">
      <c r="B71" s="9">
        <v>65</v>
      </c>
      <c r="C71" s="11">
        <v>8800</v>
      </c>
      <c r="D71" s="12">
        <v>0</v>
      </c>
      <c r="E71" s="12">
        <f t="shared" ca="1" si="1"/>
        <v>662338.67651687155</v>
      </c>
      <c r="F71" s="12">
        <f t="shared" ca="1" si="2"/>
        <v>1519845.0233180816</v>
      </c>
      <c r="G71" s="12">
        <f t="shared" ca="1" si="3"/>
        <v>66.250347813569917</v>
      </c>
      <c r="H71" s="16">
        <f t="shared" ca="1" si="0"/>
        <v>212.90906935073286</v>
      </c>
      <c r="I71" s="14">
        <f t="shared" ca="1" si="4"/>
        <v>0</v>
      </c>
      <c r="J71" s="12" t="str">
        <f t="shared" ca="1" si="5"/>
        <v>Linear</v>
      </c>
      <c r="K71" s="12" t="str">
        <f t="shared" ca="1" si="6"/>
        <v>Linear</v>
      </c>
    </row>
    <row r="72" spans="2:11" ht="30" customHeight="1">
      <c r="B72" s="9">
        <v>66</v>
      </c>
      <c r="C72" s="11">
        <v>8825</v>
      </c>
      <c r="D72" s="12">
        <v>0</v>
      </c>
      <c r="E72" s="12">
        <f t="shared" ca="1" si="1"/>
        <v>662325.09383103624</v>
      </c>
      <c r="F72" s="12">
        <f t="shared" ca="1" si="2"/>
        <v>1519824.0349726132</v>
      </c>
      <c r="G72" s="12">
        <f t="shared" ca="1" si="3"/>
        <v>65.507845585755732</v>
      </c>
      <c r="H72" s="16">
        <f t="shared" ref="H72:H132" ca="1" si="7">Hor(C72,D72,INDIRECT($D$2),"W")</f>
        <v>212.90906935073286</v>
      </c>
      <c r="I72" s="14">
        <f t="shared" ca="1" si="4"/>
        <v>0</v>
      </c>
      <c r="J72" s="12" t="str">
        <f t="shared" ca="1" si="5"/>
        <v>Linear</v>
      </c>
      <c r="K72" s="12" t="str">
        <f t="shared" ca="1" si="6"/>
        <v>Linear</v>
      </c>
    </row>
    <row r="73" spans="2:11" ht="30" customHeight="1">
      <c r="B73" s="9">
        <v>67</v>
      </c>
      <c r="C73" s="11">
        <v>8850</v>
      </c>
      <c r="D73" s="12">
        <v>0</v>
      </c>
      <c r="E73" s="12">
        <f t="shared" ref="E73:E132" ca="1" si="8">Hor(C73,D73,INDIRECT($D$2),"E")</f>
        <v>662311.51114520093</v>
      </c>
      <c r="F73" s="12">
        <f t="shared" ref="F73:F132" ca="1" si="9">Hor(C73,D73,INDIRECT($D$2),"N")</f>
        <v>1519803.046627145</v>
      </c>
      <c r="G73" s="12">
        <f t="shared" ref="G73:G132" ca="1" si="10">ver(C73,INDIRECT($F$2))</f>
        <v>64.765343357941546</v>
      </c>
      <c r="H73" s="16">
        <f t="shared" ca="1" si="7"/>
        <v>212.90906935073286</v>
      </c>
      <c r="I73" s="14">
        <f t="shared" ref="I73:I132" ca="1" si="11">Cant(C73,INDIRECT($H$2))</f>
        <v>0</v>
      </c>
      <c r="J73" s="12" t="str">
        <f t="shared" ref="J73:J132" ca="1" si="12">HorType(C73,INDIRECT($D$2))</f>
        <v>Linear</v>
      </c>
      <c r="K73" s="12" t="str">
        <f t="shared" ref="K73:K132" ca="1" si="13">VerType(C73,INDIRECT($F$2))</f>
        <v>Linear</v>
      </c>
    </row>
    <row r="74" spans="2:11" ht="30" customHeight="1">
      <c r="B74" s="9">
        <v>68</v>
      </c>
      <c r="C74" s="11">
        <v>8875</v>
      </c>
      <c r="D74" s="12">
        <v>0</v>
      </c>
      <c r="E74" s="12">
        <f t="shared" ca="1" si="8"/>
        <v>662297.92845936562</v>
      </c>
      <c r="F74" s="12">
        <f t="shared" ca="1" si="9"/>
        <v>1519782.0582816766</v>
      </c>
      <c r="G74" s="12">
        <f t="shared" ca="1" si="10"/>
        <v>64.022841130127347</v>
      </c>
      <c r="H74" s="16">
        <f t="shared" ca="1" si="7"/>
        <v>212.90906935073286</v>
      </c>
      <c r="I74" s="14">
        <f t="shared" ca="1" si="11"/>
        <v>0</v>
      </c>
      <c r="J74" s="12" t="str">
        <f t="shared" ca="1" si="12"/>
        <v>Linear</v>
      </c>
      <c r="K74" s="12" t="str">
        <f t="shared" ca="1" si="13"/>
        <v>Linear</v>
      </c>
    </row>
    <row r="75" spans="2:11" ht="30" customHeight="1">
      <c r="B75" s="9">
        <v>69</v>
      </c>
      <c r="C75" s="11">
        <v>8900</v>
      </c>
      <c r="D75" s="12">
        <v>0</v>
      </c>
      <c r="E75" s="12">
        <f t="shared" ca="1" si="8"/>
        <v>662284.34577353031</v>
      </c>
      <c r="F75" s="12">
        <f t="shared" ca="1" si="9"/>
        <v>1519761.0699362082</v>
      </c>
      <c r="G75" s="12">
        <f t="shared" ca="1" si="10"/>
        <v>63.280338902313161</v>
      </c>
      <c r="H75" s="16">
        <f t="shared" ca="1" si="7"/>
        <v>212.90906935073286</v>
      </c>
      <c r="I75" s="14">
        <f t="shared" ca="1" si="11"/>
        <v>0</v>
      </c>
      <c r="J75" s="12" t="str">
        <f t="shared" ca="1" si="12"/>
        <v>Linear</v>
      </c>
      <c r="K75" s="12" t="str">
        <f t="shared" ca="1" si="13"/>
        <v>Linear</v>
      </c>
    </row>
    <row r="76" spans="2:11" ht="30" customHeight="1">
      <c r="B76" s="9">
        <v>70</v>
      </c>
      <c r="C76" s="11">
        <v>8925</v>
      </c>
      <c r="D76" s="12">
        <v>0</v>
      </c>
      <c r="E76" s="12">
        <f t="shared" ca="1" si="8"/>
        <v>662270.763087695</v>
      </c>
      <c r="F76" s="12">
        <f t="shared" ca="1" si="9"/>
        <v>1519740.0815907398</v>
      </c>
      <c r="G76" s="12">
        <f t="shared" ca="1" si="10"/>
        <v>62.537836674498969</v>
      </c>
      <c r="H76" s="16">
        <f t="shared" ca="1" si="7"/>
        <v>212.90906935073286</v>
      </c>
      <c r="I76" s="14">
        <f t="shared" ca="1" si="11"/>
        <v>0</v>
      </c>
      <c r="J76" s="12" t="str">
        <f t="shared" ca="1" si="12"/>
        <v>Linear</v>
      </c>
      <c r="K76" s="12" t="str">
        <f t="shared" ca="1" si="13"/>
        <v>Linear</v>
      </c>
    </row>
    <row r="77" spans="2:11" ht="30" customHeight="1">
      <c r="B77" s="9">
        <v>71</v>
      </c>
      <c r="C77" s="11">
        <v>8950</v>
      </c>
      <c r="D77" s="12">
        <v>0</v>
      </c>
      <c r="E77" s="12">
        <f t="shared" ca="1" si="8"/>
        <v>662257.18040185969</v>
      </c>
      <c r="F77" s="12">
        <f t="shared" ca="1" si="9"/>
        <v>1519719.0932452716</v>
      </c>
      <c r="G77" s="12">
        <f t="shared" ca="1" si="10"/>
        <v>61.805865714797683</v>
      </c>
      <c r="H77" s="16">
        <f t="shared" ca="1" si="7"/>
        <v>212.90906935073286</v>
      </c>
      <c r="I77" s="14">
        <f t="shared" ca="1" si="11"/>
        <v>0</v>
      </c>
      <c r="J77" s="12" t="str">
        <f t="shared" ca="1" si="12"/>
        <v>Linear</v>
      </c>
      <c r="K77" s="12" t="str">
        <f t="shared" ca="1" si="13"/>
        <v>Parabola</v>
      </c>
    </row>
    <row r="78" spans="2:11" ht="30" customHeight="1">
      <c r="B78" s="9">
        <v>72</v>
      </c>
      <c r="C78" s="11">
        <v>8975</v>
      </c>
      <c r="D78" s="12">
        <v>0</v>
      </c>
      <c r="E78" s="12">
        <f t="shared" ca="1" si="8"/>
        <v>662243.60153312469</v>
      </c>
      <c r="F78" s="12">
        <f t="shared" ca="1" si="9"/>
        <v>1519698.1024328216</v>
      </c>
      <c r="G78" s="12">
        <f t="shared" ca="1" si="10"/>
        <v>61.189598575356413</v>
      </c>
      <c r="H78" s="16">
        <f t="shared" ca="1" si="7"/>
        <v>212.79333527518804</v>
      </c>
      <c r="I78" s="14">
        <f t="shared" ca="1" si="11"/>
        <v>15.13477052750477</v>
      </c>
      <c r="J78" s="12" t="str">
        <f t="shared" ca="1" si="12"/>
        <v>Clothoid</v>
      </c>
      <c r="K78" s="12" t="str">
        <f t="shared" ca="1" si="13"/>
        <v>Parabola</v>
      </c>
    </row>
    <row r="79" spans="2:11" ht="30" customHeight="1">
      <c r="B79" s="9">
        <v>73</v>
      </c>
      <c r="C79" s="11">
        <v>9000</v>
      </c>
      <c r="D79" s="12">
        <v>0</v>
      </c>
      <c r="E79" s="12">
        <f t="shared" ca="1" si="8"/>
        <v>662230.41743430402</v>
      </c>
      <c r="F79" s="12">
        <f t="shared" ca="1" si="9"/>
        <v>1519676.863767294</v>
      </c>
      <c r="G79" s="12">
        <f t="shared" ca="1" si="10"/>
        <v>60.716120325879416</v>
      </c>
      <c r="H79" s="16">
        <f t="shared" ca="1" si="7"/>
        <v>210.33440451630207</v>
      </c>
      <c r="I79" s="14">
        <f t="shared" ca="1" si="11"/>
        <v>71.38477052750477</v>
      </c>
      <c r="J79" s="12" t="str">
        <f t="shared" ca="1" si="12"/>
        <v>Clothoid</v>
      </c>
      <c r="K79" s="12" t="str">
        <f t="shared" ca="1" si="13"/>
        <v>Parabola</v>
      </c>
    </row>
    <row r="80" spans="2:11" ht="30" customHeight="1">
      <c r="B80" s="9">
        <v>74</v>
      </c>
      <c r="C80" s="11">
        <v>9025</v>
      </c>
      <c r="D80" s="12">
        <v>0</v>
      </c>
      <c r="E80" s="12">
        <f t="shared" ca="1" si="8"/>
        <v>662218.71046992065</v>
      </c>
      <c r="F80" s="12">
        <f t="shared" ca="1" si="9"/>
        <v>1519654.7832944598</v>
      </c>
      <c r="G80" s="12">
        <f t="shared" ca="1" si="10"/>
        <v>60.385430966366691</v>
      </c>
      <c r="H80" s="16">
        <f t="shared" ca="1" si="7"/>
        <v>205.39379412741872</v>
      </c>
      <c r="I80" s="14">
        <f t="shared" ca="1" si="11"/>
        <v>90</v>
      </c>
      <c r="J80" s="12" t="str">
        <f t="shared" ca="1" si="12"/>
        <v>Circular</v>
      </c>
      <c r="K80" s="12" t="str">
        <f t="shared" ca="1" si="13"/>
        <v>Parabola</v>
      </c>
    </row>
    <row r="81" spans="2:11" ht="30" customHeight="1">
      <c r="B81" s="9">
        <v>75</v>
      </c>
      <c r="C81" s="11">
        <v>9050</v>
      </c>
      <c r="D81" s="12">
        <v>0</v>
      </c>
      <c r="E81" s="12">
        <f t="shared" ca="1" si="8"/>
        <v>662209.01134311501</v>
      </c>
      <c r="F81" s="12">
        <f t="shared" ca="1" si="9"/>
        <v>1519631.7504517266</v>
      </c>
      <c r="G81" s="12">
        <f t="shared" ca="1" si="10"/>
        <v>60.197530496818224</v>
      </c>
      <c r="H81" s="16">
        <f t="shared" ca="1" si="7"/>
        <v>200.27809967039354</v>
      </c>
      <c r="I81" s="14">
        <f t="shared" ca="1" si="11"/>
        <v>90</v>
      </c>
      <c r="J81" s="12" t="str">
        <f t="shared" ca="1" si="12"/>
        <v>Circular</v>
      </c>
      <c r="K81" s="12" t="str">
        <f t="shared" ca="1" si="13"/>
        <v>Parabola</v>
      </c>
    </row>
    <row r="82" spans="2:11" ht="30" customHeight="1">
      <c r="B82" s="9">
        <v>76</v>
      </c>
      <c r="C82" s="11">
        <v>9075</v>
      </c>
      <c r="D82" s="12">
        <v>0</v>
      </c>
      <c r="E82" s="12">
        <f t="shared" ca="1" si="8"/>
        <v>662201.39687021589</v>
      </c>
      <c r="F82" s="12">
        <f t="shared" ca="1" si="9"/>
        <v>1519607.9466809854</v>
      </c>
      <c r="G82" s="12">
        <f t="shared" ca="1" si="10"/>
        <v>60.15</v>
      </c>
      <c r="H82" s="16">
        <f t="shared" ca="1" si="7"/>
        <v>195.33230734828189</v>
      </c>
      <c r="I82" s="14">
        <f t="shared" ca="1" si="11"/>
        <v>71.662258957109316</v>
      </c>
      <c r="J82" s="12" t="str">
        <f t="shared" ca="1" si="12"/>
        <v>Clothoid</v>
      </c>
      <c r="K82" s="12" t="str">
        <f t="shared" ca="1" si="13"/>
        <v>Linear</v>
      </c>
    </row>
    <row r="83" spans="2:11" ht="30" customHeight="1">
      <c r="B83" s="9">
        <v>77</v>
      </c>
      <c r="C83" s="11">
        <v>9100</v>
      </c>
      <c r="D83" s="12">
        <v>0</v>
      </c>
      <c r="E83" s="12">
        <f t="shared" ca="1" si="8"/>
        <v>662195.42193316738</v>
      </c>
      <c r="F83" s="12">
        <f t="shared" ca="1" si="9"/>
        <v>1519583.6732331889</v>
      </c>
      <c r="G83" s="12">
        <f t="shared" ca="1" si="10"/>
        <v>60.15</v>
      </c>
      <c r="H83" s="16">
        <f t="shared" ca="1" si="7"/>
        <v>192.85760385582685</v>
      </c>
      <c r="I83" s="14">
        <f t="shared" ca="1" si="11"/>
        <v>15.412258957109316</v>
      </c>
      <c r="J83" s="12" t="str">
        <f t="shared" ca="1" si="12"/>
        <v>Clothoid</v>
      </c>
      <c r="K83" s="12" t="str">
        <f t="shared" ca="1" si="13"/>
        <v>Linear</v>
      </c>
    </row>
    <row r="84" spans="2:11" ht="30" customHeight="1">
      <c r="B84" s="9">
        <v>78</v>
      </c>
      <c r="C84" s="11">
        <v>9125</v>
      </c>
      <c r="D84" s="12">
        <v>0</v>
      </c>
      <c r="E84" s="12">
        <f t="shared" ca="1" si="8"/>
        <v>662189.90511845483</v>
      </c>
      <c r="F84" s="12">
        <f t="shared" ca="1" si="9"/>
        <v>1519559.2895371162</v>
      </c>
      <c r="G84" s="12">
        <f t="shared" ca="1" si="10"/>
        <v>60.15</v>
      </c>
      <c r="H84" s="16">
        <f t="shared" ca="1" si="7"/>
        <v>192.73758713414855</v>
      </c>
      <c r="I84" s="14">
        <f t="shared" ca="1" si="11"/>
        <v>0</v>
      </c>
      <c r="J84" s="12" t="str">
        <f t="shared" ca="1" si="12"/>
        <v>Linear</v>
      </c>
      <c r="K84" s="12" t="str">
        <f t="shared" ca="1" si="13"/>
        <v>Linear</v>
      </c>
    </row>
    <row r="85" spans="2:11" ht="30" customHeight="1">
      <c r="B85" s="9">
        <v>79</v>
      </c>
      <c r="C85" s="11">
        <v>9150</v>
      </c>
      <c r="D85" s="12">
        <v>0</v>
      </c>
      <c r="E85" s="12">
        <f t="shared" ca="1" si="8"/>
        <v>662184.30892313272</v>
      </c>
      <c r="F85" s="12">
        <f t="shared" ca="1" si="9"/>
        <v>1519534.9241640731</v>
      </c>
      <c r="G85" s="12">
        <f t="shared" ca="1" si="10"/>
        <v>60.161092760302203</v>
      </c>
      <c r="H85" s="16">
        <f t="shared" ca="1" si="7"/>
        <v>193.56285801778102</v>
      </c>
      <c r="I85" s="14">
        <f t="shared" ca="1" si="11"/>
        <v>40.415083334752126</v>
      </c>
      <c r="J85" s="12" t="str">
        <f t="shared" ca="1" si="12"/>
        <v>Clothoid</v>
      </c>
      <c r="K85" s="12" t="str">
        <f t="shared" ca="1" si="13"/>
        <v>Parabola</v>
      </c>
    </row>
    <row r="86" spans="2:11" ht="30" customHeight="1">
      <c r="B86" s="9">
        <v>80</v>
      </c>
      <c r="C86" s="11">
        <v>9175</v>
      </c>
      <c r="D86" s="12">
        <v>0</v>
      </c>
      <c r="E86" s="12">
        <f t="shared" ca="1" si="8"/>
        <v>662177.73717757489</v>
      </c>
      <c r="F86" s="12">
        <f t="shared" ca="1" si="9"/>
        <v>1519510.8084145198</v>
      </c>
      <c r="G86" s="12">
        <f t="shared" ca="1" si="10"/>
        <v>60.204224014597052</v>
      </c>
      <c r="H86" s="16">
        <f t="shared" ca="1" si="7"/>
        <v>197.43630311999127</v>
      </c>
      <c r="I86" s="14">
        <f t="shared" ca="1" si="11"/>
        <v>90</v>
      </c>
      <c r="J86" s="12" t="str">
        <f t="shared" ca="1" si="12"/>
        <v>Circular</v>
      </c>
      <c r="K86" s="12" t="str">
        <f t="shared" ca="1" si="13"/>
        <v>Parabola</v>
      </c>
    </row>
    <row r="87" spans="2:11" ht="30" customHeight="1">
      <c r="B87" s="9">
        <v>81</v>
      </c>
      <c r="C87" s="11">
        <v>9200</v>
      </c>
      <c r="D87" s="12">
        <v>0</v>
      </c>
      <c r="E87" s="12">
        <f t="shared" ca="1" si="8"/>
        <v>662169.19190930983</v>
      </c>
      <c r="F87" s="12">
        <f t="shared" ca="1" si="9"/>
        <v>1519487.3230297996</v>
      </c>
      <c r="G87" s="12">
        <f t="shared" ca="1" si="10"/>
        <v>60.268794560210168</v>
      </c>
      <c r="H87" s="16">
        <f t="shared" ca="1" si="7"/>
        <v>202.55199757701644</v>
      </c>
      <c r="I87" s="14">
        <f t="shared" ca="1" si="11"/>
        <v>90</v>
      </c>
      <c r="J87" s="12" t="str">
        <f t="shared" ca="1" si="12"/>
        <v>Circular</v>
      </c>
      <c r="K87" s="12" t="str">
        <f t="shared" ca="1" si="13"/>
        <v>Linear</v>
      </c>
    </row>
    <row r="88" spans="2:11" ht="30" customHeight="1">
      <c r="B88" s="9">
        <v>82</v>
      </c>
      <c r="C88" s="11">
        <v>9225</v>
      </c>
      <c r="D88" s="12">
        <v>0</v>
      </c>
      <c r="E88" s="12">
        <f t="shared" ca="1" si="8"/>
        <v>662158.5865552125</v>
      </c>
      <c r="F88" s="12">
        <f t="shared" ca="1" si="9"/>
        <v>1519464.6931519909</v>
      </c>
      <c r="G88" s="12">
        <f t="shared" ca="1" si="10"/>
        <v>60.333858663451124</v>
      </c>
      <c r="H88" s="16">
        <f t="shared" ca="1" si="7"/>
        <v>207.66769203404164</v>
      </c>
      <c r="I88" s="14">
        <f t="shared" ca="1" si="11"/>
        <v>90</v>
      </c>
      <c r="J88" s="12" t="str">
        <f t="shared" ca="1" si="12"/>
        <v>Circular</v>
      </c>
      <c r="K88" s="12" t="str">
        <f t="shared" ca="1" si="13"/>
        <v>Linear</v>
      </c>
    </row>
    <row r="89" spans="2:11" ht="30" customHeight="1">
      <c r="B89" s="9">
        <v>83</v>
      </c>
      <c r="C89" s="11">
        <v>9250</v>
      </c>
      <c r="D89" s="12">
        <v>0</v>
      </c>
      <c r="E89" s="12">
        <f t="shared" ca="1" si="8"/>
        <v>662146.00560436561</v>
      </c>
      <c r="F89" s="12">
        <f t="shared" ca="1" si="9"/>
        <v>1519443.099065278</v>
      </c>
      <c r="G89" s="12">
        <f t="shared" ca="1" si="10"/>
        <v>60.398922766692081</v>
      </c>
      <c r="H89" s="16">
        <f t="shared" ca="1" si="7"/>
        <v>212.78338649106681</v>
      </c>
      <c r="I89" s="14">
        <f t="shared" ca="1" si="11"/>
        <v>90</v>
      </c>
      <c r="J89" s="12" t="str">
        <f t="shared" ca="1" si="12"/>
        <v>Circular</v>
      </c>
      <c r="K89" s="12" t="str">
        <f t="shared" ca="1" si="13"/>
        <v>Linear</v>
      </c>
    </row>
    <row r="90" spans="2:11" ht="30" customHeight="1">
      <c r="B90" s="9">
        <v>84</v>
      </c>
      <c r="C90" s="11">
        <v>9275</v>
      </c>
      <c r="D90" s="12">
        <v>0</v>
      </c>
      <c r="E90" s="12">
        <f t="shared" ca="1" si="8"/>
        <v>662131.54928472836</v>
      </c>
      <c r="F90" s="12">
        <f t="shared" ca="1" si="9"/>
        <v>1519422.7128020667</v>
      </c>
      <c r="G90" s="12">
        <f t="shared" ca="1" si="10"/>
        <v>60.463986869933031</v>
      </c>
      <c r="H90" s="16">
        <f t="shared" ca="1" si="7"/>
        <v>217.89908094809198</v>
      </c>
      <c r="I90" s="14">
        <f t="shared" ca="1" si="11"/>
        <v>90</v>
      </c>
      <c r="J90" s="12" t="str">
        <f t="shared" ca="1" si="12"/>
        <v>Circular</v>
      </c>
      <c r="K90" s="12" t="str">
        <f t="shared" ca="1" si="13"/>
        <v>Linear</v>
      </c>
    </row>
    <row r="91" spans="2:11" ht="30" customHeight="1">
      <c r="B91" s="9">
        <v>85</v>
      </c>
      <c r="C91" s="11">
        <v>9300</v>
      </c>
      <c r="D91" s="12">
        <v>0</v>
      </c>
      <c r="E91" s="12">
        <f t="shared" ca="1" si="8"/>
        <v>662115.33276465558</v>
      </c>
      <c r="F91" s="12">
        <f t="shared" ca="1" si="9"/>
        <v>1519403.6967724627</v>
      </c>
      <c r="G91" s="12">
        <f t="shared" ca="1" si="10"/>
        <v>60.529050973173987</v>
      </c>
      <c r="H91" s="16">
        <f t="shared" ca="1" si="7"/>
        <v>223.01477540511718</v>
      </c>
      <c r="I91" s="14">
        <f t="shared" ca="1" si="11"/>
        <v>90</v>
      </c>
      <c r="J91" s="12" t="str">
        <f t="shared" ca="1" si="12"/>
        <v>Circular</v>
      </c>
      <c r="K91" s="12" t="str">
        <f t="shared" ca="1" si="13"/>
        <v>Linear</v>
      </c>
    </row>
    <row r="92" spans="2:11" ht="30" customHeight="1">
      <c r="B92" s="9">
        <v>86</v>
      </c>
      <c r="C92" s="11">
        <v>9325</v>
      </c>
      <c r="D92" s="12">
        <v>0</v>
      </c>
      <c r="E92" s="12">
        <f t="shared" ca="1" si="8"/>
        <v>662097.55713498418</v>
      </c>
      <c r="F92" s="12">
        <f t="shared" ca="1" si="9"/>
        <v>1519386.1257339455</v>
      </c>
      <c r="G92" s="12">
        <f t="shared" ca="1" si="10"/>
        <v>60.594115076414944</v>
      </c>
      <c r="H92" s="16">
        <f t="shared" ca="1" si="7"/>
        <v>227.18858600492436</v>
      </c>
      <c r="I92" s="14">
        <f t="shared" ca="1" si="11"/>
        <v>46.823817906349177</v>
      </c>
      <c r="J92" s="12" t="str">
        <f t="shared" ca="1" si="12"/>
        <v>Clothoid</v>
      </c>
      <c r="K92" s="12" t="str">
        <f t="shared" ca="1" si="13"/>
        <v>Linear</v>
      </c>
    </row>
    <row r="93" spans="2:11" ht="30" customHeight="1">
      <c r="B93" s="9">
        <v>87</v>
      </c>
      <c r="C93" s="11">
        <v>9350</v>
      </c>
      <c r="D93" s="12">
        <v>0</v>
      </c>
      <c r="E93" s="12">
        <f t="shared" ca="1" si="8"/>
        <v>662078.98204965261</v>
      </c>
      <c r="F93" s="12">
        <f t="shared" ca="1" si="9"/>
        <v>1519369.3941682249</v>
      </c>
      <c r="G93" s="12">
        <f t="shared" ca="1" si="10"/>
        <v>60.659179179655901</v>
      </c>
      <c r="H93" s="16">
        <f t="shared" ca="1" si="7"/>
        <v>228.29633959622265</v>
      </c>
      <c r="I93" s="14">
        <f t="shared" ca="1" si="11"/>
        <v>0</v>
      </c>
      <c r="J93" s="12" t="str">
        <f t="shared" ca="1" si="12"/>
        <v>Linear</v>
      </c>
      <c r="K93" s="12" t="str">
        <f t="shared" ca="1" si="13"/>
        <v>Linear</v>
      </c>
    </row>
    <row r="94" spans="2:11" ht="30" customHeight="1">
      <c r="B94" s="9">
        <v>88</v>
      </c>
      <c r="C94" s="11">
        <v>9375</v>
      </c>
      <c r="D94" s="12">
        <v>0</v>
      </c>
      <c r="E94" s="12">
        <f t="shared" ca="1" si="8"/>
        <v>662060.31719426229</v>
      </c>
      <c r="F94" s="12">
        <f t="shared" ca="1" si="9"/>
        <v>1519352.7621757661</v>
      </c>
      <c r="G94" s="12">
        <f t="shared" ca="1" si="10"/>
        <v>60.816254583506677</v>
      </c>
      <c r="H94" s="16">
        <f t="shared" ca="1" si="7"/>
        <v>228.29058521868356</v>
      </c>
      <c r="I94" s="14">
        <f t="shared" ca="1" si="11"/>
        <v>4.039222005787269</v>
      </c>
      <c r="J94" s="12" t="str">
        <f t="shared" ca="1" si="12"/>
        <v>Clothoid</v>
      </c>
      <c r="K94" s="12" t="str">
        <f t="shared" ca="1" si="13"/>
        <v>Parabola</v>
      </c>
    </row>
    <row r="95" spans="2:11" ht="30" customHeight="1">
      <c r="B95" s="9">
        <v>89</v>
      </c>
      <c r="C95" s="11">
        <v>9400</v>
      </c>
      <c r="D95" s="12">
        <v>0</v>
      </c>
      <c r="E95" s="12">
        <f t="shared" ca="1" si="8"/>
        <v>662041.75115343917</v>
      </c>
      <c r="F95" s="12">
        <f t="shared" ca="1" si="9"/>
        <v>1519336.0203806548</v>
      </c>
      <c r="G95" s="12">
        <f t="shared" ca="1" si="10"/>
        <v>61.222335133634658</v>
      </c>
      <c r="H95" s="16">
        <f t="shared" ca="1" si="7"/>
        <v>227.35947112945752</v>
      </c>
      <c r="I95" s="14">
        <f t="shared" ca="1" si="11"/>
        <v>51.539222005787266</v>
      </c>
      <c r="J95" s="12" t="str">
        <f t="shared" ca="1" si="12"/>
        <v>Clothoid</v>
      </c>
      <c r="K95" s="12" t="str">
        <f t="shared" ca="1" si="13"/>
        <v>Parabola</v>
      </c>
    </row>
    <row r="96" spans="2:11" ht="30" customHeight="1">
      <c r="B96" s="9">
        <v>90</v>
      </c>
      <c r="C96" s="11">
        <v>9425</v>
      </c>
      <c r="D96" s="12">
        <v>0</v>
      </c>
      <c r="E96" s="12">
        <f t="shared" ca="1" si="8"/>
        <v>662023.6992771728</v>
      </c>
      <c r="F96" s="12">
        <f t="shared" ca="1" si="9"/>
        <v>1519318.727948131</v>
      </c>
      <c r="G96" s="12">
        <f t="shared" ca="1" si="10"/>
        <v>61.880060852325073</v>
      </c>
      <c r="H96" s="16">
        <f t="shared" ca="1" si="7"/>
        <v>224.84256211733464</v>
      </c>
      <c r="I96" s="14">
        <f t="shared" ca="1" si="11"/>
        <v>95</v>
      </c>
      <c r="J96" s="12" t="str">
        <f t="shared" ca="1" si="12"/>
        <v>Circular</v>
      </c>
      <c r="K96" s="12" t="str">
        <f t="shared" ca="1" si="13"/>
        <v>Parabola</v>
      </c>
    </row>
    <row r="97" spans="2:11" ht="30" customHeight="1">
      <c r="B97" s="9">
        <v>91</v>
      </c>
      <c r="C97" s="11">
        <v>9450</v>
      </c>
      <c r="D97" s="12">
        <v>0</v>
      </c>
      <c r="E97" s="12">
        <f t="shared" ca="1" si="8"/>
        <v>662006.57158141921</v>
      </c>
      <c r="F97" s="12">
        <f t="shared" ca="1" si="9"/>
        <v>1519300.521320116</v>
      </c>
      <c r="G97" s="12">
        <f t="shared" ca="1" si="10"/>
        <v>62.697420438968095</v>
      </c>
      <c r="H97" s="16">
        <f t="shared" ca="1" si="7"/>
        <v>221.65946334407451</v>
      </c>
      <c r="I97" s="14">
        <f t="shared" ca="1" si="11"/>
        <v>95</v>
      </c>
      <c r="J97" s="12" t="str">
        <f t="shared" ca="1" si="12"/>
        <v>Circular</v>
      </c>
      <c r="K97" s="12" t="str">
        <f t="shared" ca="1" si="13"/>
        <v>Linear</v>
      </c>
    </row>
    <row r="98" spans="2:11" ht="30" customHeight="1">
      <c r="B98" s="9">
        <v>92</v>
      </c>
      <c r="C98" s="11">
        <v>9475</v>
      </c>
      <c r="D98" s="12">
        <v>0</v>
      </c>
      <c r="E98" s="12">
        <f t="shared" ca="1" si="8"/>
        <v>661990.48126960348</v>
      </c>
      <c r="F98" s="12">
        <f t="shared" ca="1" si="9"/>
        <v>1519281.3917322692</v>
      </c>
      <c r="G98" s="12">
        <f t="shared" ca="1" si="10"/>
        <v>63.51742004789633</v>
      </c>
      <c r="H98" s="16">
        <f t="shared" ca="1" si="7"/>
        <v>218.47636457081441</v>
      </c>
      <c r="I98" s="14">
        <f t="shared" ca="1" si="11"/>
        <v>95</v>
      </c>
      <c r="J98" s="12" t="str">
        <f t="shared" ca="1" si="12"/>
        <v>Circular</v>
      </c>
      <c r="K98" s="12" t="str">
        <f t="shared" ca="1" si="13"/>
        <v>Linear</v>
      </c>
    </row>
    <row r="99" spans="2:11" ht="30" customHeight="1">
      <c r="B99" s="9">
        <v>93</v>
      </c>
      <c r="C99" s="11">
        <v>9500</v>
      </c>
      <c r="D99" s="12">
        <v>0</v>
      </c>
      <c r="E99" s="12">
        <f t="shared" ca="1" si="8"/>
        <v>661975.47556499427</v>
      </c>
      <c r="F99" s="12">
        <f t="shared" ca="1" si="9"/>
        <v>1519261.3999432926</v>
      </c>
      <c r="G99" s="12">
        <f t="shared" ca="1" si="10"/>
        <v>64.337419656824565</v>
      </c>
      <c r="H99" s="16">
        <f t="shared" ca="1" si="7"/>
        <v>215.36275484112002</v>
      </c>
      <c r="I99" s="14">
        <f t="shared" ca="1" si="11"/>
        <v>80.96349617891974</v>
      </c>
      <c r="J99" s="12" t="str">
        <f t="shared" ca="1" si="12"/>
        <v>Clothoid</v>
      </c>
      <c r="K99" s="12" t="str">
        <f t="shared" ca="1" si="13"/>
        <v>Linear</v>
      </c>
    </row>
    <row r="100" spans="2:11" ht="30" customHeight="1">
      <c r="B100" s="9">
        <v>94</v>
      </c>
      <c r="C100" s="11">
        <v>9525</v>
      </c>
      <c r="D100" s="12">
        <v>0</v>
      </c>
      <c r="E100" s="12">
        <f t="shared" ca="1" si="8"/>
        <v>661961.39831012802</v>
      </c>
      <c r="F100" s="12">
        <f t="shared" ca="1" si="9"/>
        <v>1519240.7414844153</v>
      </c>
      <c r="G100" s="12">
        <f t="shared" ca="1" si="10"/>
        <v>65.157419265752807</v>
      </c>
      <c r="H100" s="16">
        <f t="shared" ca="1" si="7"/>
        <v>213.4457421095301</v>
      </c>
      <c r="I100" s="14">
        <f t="shared" ca="1" si="11"/>
        <v>33.46349617891974</v>
      </c>
      <c r="J100" s="12" t="str">
        <f t="shared" ca="1" si="12"/>
        <v>Clothoid</v>
      </c>
      <c r="K100" s="12" t="str">
        <f t="shared" ca="1" si="13"/>
        <v>Linear</v>
      </c>
    </row>
    <row r="101" spans="2:11" ht="30" customHeight="1">
      <c r="B101" s="9">
        <v>95</v>
      </c>
      <c r="C101" s="11">
        <v>9550</v>
      </c>
      <c r="D101" s="12">
        <v>0</v>
      </c>
      <c r="E101" s="12">
        <f t="shared" ca="1" si="8"/>
        <v>661947.7298838346</v>
      </c>
      <c r="F101" s="12">
        <f t="shared" ca="1" si="9"/>
        <v>1519219.8089360246</v>
      </c>
      <c r="G101" s="12">
        <f t="shared" ca="1" si="10"/>
        <v>65.977418874681035</v>
      </c>
      <c r="H101" s="16">
        <f t="shared" ca="1" si="7"/>
        <v>213.05078909246663</v>
      </c>
      <c r="I101" s="14">
        <f t="shared" ca="1" si="11"/>
        <v>0</v>
      </c>
      <c r="J101" s="12" t="str">
        <f t="shared" ca="1" si="12"/>
        <v>Linear</v>
      </c>
      <c r="K101" s="12" t="str">
        <f t="shared" ca="1" si="13"/>
        <v>Linear</v>
      </c>
    </row>
    <row r="102" spans="2:11" ht="30" customHeight="1">
      <c r="B102" s="9">
        <v>96</v>
      </c>
      <c r="C102" s="11">
        <v>9575</v>
      </c>
      <c r="D102" s="12">
        <v>0</v>
      </c>
      <c r="E102" s="12">
        <f t="shared" ca="1" si="8"/>
        <v>661934.09210317046</v>
      </c>
      <c r="F102" s="12">
        <f t="shared" ca="1" si="9"/>
        <v>1519198.8563499423</v>
      </c>
      <c r="G102" s="12">
        <f t="shared" ca="1" si="10"/>
        <v>66.797418483609277</v>
      </c>
      <c r="H102" s="16">
        <f t="shared" ca="1" si="7"/>
        <v>213.14013116668261</v>
      </c>
      <c r="I102" s="14">
        <f t="shared" ca="1" si="11"/>
        <v>16.252621013064346</v>
      </c>
      <c r="J102" s="12" t="str">
        <f t="shared" ca="1" si="12"/>
        <v>Clothoid</v>
      </c>
      <c r="K102" s="12" t="str">
        <f t="shared" ca="1" si="13"/>
        <v>Linear</v>
      </c>
    </row>
    <row r="103" spans="2:11" ht="30" customHeight="1">
      <c r="B103" s="9">
        <v>97</v>
      </c>
      <c r="C103" s="11">
        <v>9600</v>
      </c>
      <c r="D103" s="12">
        <v>0</v>
      </c>
      <c r="E103" s="12">
        <f t="shared" ca="1" si="8"/>
        <v>661920.19433348824</v>
      </c>
      <c r="F103" s="12">
        <f t="shared" ca="1" si="9"/>
        <v>1519178.076276608</v>
      </c>
      <c r="G103" s="12">
        <f t="shared" ca="1" si="10"/>
        <v>67.61741809253752</v>
      </c>
      <c r="H103" s="16">
        <f t="shared" ca="1" si="7"/>
        <v>214.67860754328396</v>
      </c>
      <c r="I103" s="14">
        <f t="shared" ca="1" si="11"/>
        <v>55</v>
      </c>
      <c r="J103" s="12" t="str">
        <f t="shared" ca="1" si="12"/>
        <v>Circular</v>
      </c>
      <c r="K103" s="12" t="str">
        <f t="shared" ca="1" si="13"/>
        <v>Linear</v>
      </c>
    </row>
    <row r="104" spans="2:11" ht="30" customHeight="1">
      <c r="B104" s="9">
        <v>98</v>
      </c>
      <c r="C104" s="11">
        <v>9625</v>
      </c>
      <c r="D104" s="12">
        <v>0</v>
      </c>
      <c r="E104" s="12">
        <f t="shared" ca="1" si="8"/>
        <v>661905.60826749785</v>
      </c>
      <c r="F104" s="12">
        <f t="shared" ca="1" si="9"/>
        <v>1519157.7740003823</v>
      </c>
      <c r="G104" s="12">
        <f t="shared" ca="1" si="10"/>
        <v>68.437417701465748</v>
      </c>
      <c r="H104" s="16">
        <f t="shared" ca="1" si="7"/>
        <v>216.65123354285274</v>
      </c>
      <c r="I104" s="14">
        <f t="shared" ca="1" si="11"/>
        <v>40.243355174952377</v>
      </c>
      <c r="J104" s="12" t="str">
        <f t="shared" ca="1" si="12"/>
        <v>Clothoid</v>
      </c>
      <c r="K104" s="12" t="str">
        <f t="shared" ca="1" si="13"/>
        <v>Linear</v>
      </c>
    </row>
    <row r="105" spans="2:11" ht="30" customHeight="1">
      <c r="B105" s="9">
        <v>99</v>
      </c>
      <c r="C105" s="11">
        <v>9650</v>
      </c>
      <c r="D105" s="12">
        <v>0</v>
      </c>
      <c r="E105" s="12">
        <f t="shared" ca="1" si="8"/>
        <v>661890.54017257632</v>
      </c>
      <c r="F105" s="12">
        <f t="shared" ca="1" si="9"/>
        <v>1519137.825377543</v>
      </c>
      <c r="G105" s="12">
        <f t="shared" ca="1" si="10"/>
        <v>69.25741731039399</v>
      </c>
      <c r="H105" s="16">
        <f t="shared" ca="1" si="7"/>
        <v>217.19900267542124</v>
      </c>
      <c r="I105" s="14">
        <f t="shared" ca="1" si="11"/>
        <v>0</v>
      </c>
      <c r="J105" s="12" t="str">
        <f t="shared" ca="1" si="12"/>
        <v>Linear</v>
      </c>
      <c r="K105" s="12" t="str">
        <f t="shared" ca="1" si="13"/>
        <v>Linear</v>
      </c>
    </row>
    <row r="106" spans="2:11" ht="30" customHeight="1">
      <c r="B106" s="9">
        <v>100</v>
      </c>
      <c r="C106" s="11">
        <v>9675</v>
      </c>
      <c r="D106" s="12">
        <v>0</v>
      </c>
      <c r="E106" s="12">
        <f t="shared" ca="1" si="8"/>
        <v>661875.42553922825</v>
      </c>
      <c r="F106" s="12">
        <f t="shared" ca="1" si="9"/>
        <v>1519117.9118680893</v>
      </c>
      <c r="G106" s="12">
        <f t="shared" ca="1" si="10"/>
        <v>70.077416919322218</v>
      </c>
      <c r="H106" s="16">
        <f t="shared" ca="1" si="7"/>
        <v>217.19900267542124</v>
      </c>
      <c r="I106" s="14">
        <f t="shared" ca="1" si="11"/>
        <v>0</v>
      </c>
      <c r="J106" s="12" t="str">
        <f t="shared" ca="1" si="12"/>
        <v>Linear</v>
      </c>
      <c r="K106" s="12" t="str">
        <f t="shared" ca="1" si="13"/>
        <v>Linear</v>
      </c>
    </row>
    <row r="107" spans="2:11" ht="30" customHeight="1">
      <c r="B107" s="9">
        <v>101</v>
      </c>
      <c r="C107" s="11">
        <v>9700</v>
      </c>
      <c r="D107" s="12">
        <v>0</v>
      </c>
      <c r="E107" s="12">
        <f t="shared" ca="1" si="8"/>
        <v>661860.31090588018</v>
      </c>
      <c r="F107" s="12">
        <f t="shared" ca="1" si="9"/>
        <v>1519097.9983586359</v>
      </c>
      <c r="G107" s="12">
        <f t="shared" ca="1" si="10"/>
        <v>70.89741652825046</v>
      </c>
      <c r="H107" s="16">
        <f t="shared" ca="1" si="7"/>
        <v>217.19900267542124</v>
      </c>
      <c r="I107" s="14">
        <f t="shared" ca="1" si="11"/>
        <v>0</v>
      </c>
      <c r="J107" s="12" t="str">
        <f t="shared" ca="1" si="12"/>
        <v>Linear</v>
      </c>
      <c r="K107" s="12" t="str">
        <f t="shared" ca="1" si="13"/>
        <v>Linear</v>
      </c>
    </row>
    <row r="108" spans="2:11" ht="30" customHeight="1">
      <c r="B108" s="9">
        <v>102</v>
      </c>
      <c r="C108" s="11">
        <v>9725</v>
      </c>
      <c r="D108" s="12">
        <v>0</v>
      </c>
      <c r="E108" s="12">
        <f t="shared" ca="1" si="8"/>
        <v>661845.20522069721</v>
      </c>
      <c r="F108" s="12">
        <f t="shared" ca="1" si="9"/>
        <v>1519078.0780694149</v>
      </c>
      <c r="G108" s="12">
        <f t="shared" ca="1" si="10"/>
        <v>71.717416137178702</v>
      </c>
      <c r="H108" s="16">
        <f t="shared" ca="1" si="7"/>
        <v>217.03623053312555</v>
      </c>
      <c r="I108" s="14">
        <f t="shared" ca="1" si="11"/>
        <v>18.326839025613399</v>
      </c>
      <c r="J108" s="12" t="str">
        <f t="shared" ca="1" si="12"/>
        <v>Clothoid</v>
      </c>
      <c r="K108" s="12" t="str">
        <f t="shared" ca="1" si="13"/>
        <v>Linear</v>
      </c>
    </row>
    <row r="109" spans="2:11" ht="30" customHeight="1">
      <c r="B109" s="9">
        <v>103</v>
      </c>
      <c r="C109" s="11">
        <v>9750</v>
      </c>
      <c r="D109" s="12">
        <v>0</v>
      </c>
      <c r="E109" s="12">
        <f t="shared" ca="1" si="8"/>
        <v>661830.35189443128</v>
      </c>
      <c r="F109" s="12">
        <f t="shared" ca="1" si="9"/>
        <v>1519057.9696976398</v>
      </c>
      <c r="G109" s="12">
        <f t="shared" ca="1" si="10"/>
        <v>72.53741574610693</v>
      </c>
      <c r="H109" s="16">
        <f t="shared" ca="1" si="7"/>
        <v>215.62649147821691</v>
      </c>
      <c r="I109" s="14">
        <f t="shared" ca="1" si="11"/>
        <v>56.963202661977036</v>
      </c>
      <c r="J109" s="12" t="str">
        <f t="shared" ca="1" si="12"/>
        <v>Clothoid</v>
      </c>
      <c r="K109" s="12" t="str">
        <f t="shared" ca="1" si="13"/>
        <v>Linear</v>
      </c>
    </row>
    <row r="110" spans="2:11" ht="30" customHeight="1">
      <c r="B110" s="9">
        <v>104</v>
      </c>
      <c r="C110" s="11">
        <v>9775</v>
      </c>
      <c r="D110" s="12">
        <v>0</v>
      </c>
      <c r="E110" s="12">
        <f t="shared" ca="1" si="8"/>
        <v>661816.25662759878</v>
      </c>
      <c r="F110" s="12">
        <f t="shared" ca="1" si="9"/>
        <v>1519037.3251848088</v>
      </c>
      <c r="G110" s="12">
        <f t="shared" ca="1" si="10"/>
        <v>73.357415355035172</v>
      </c>
      <c r="H110" s="16">
        <f t="shared" ca="1" si="7"/>
        <v>212.82433734013171</v>
      </c>
      <c r="I110" s="14">
        <f t="shared" ca="1" si="11"/>
        <v>85</v>
      </c>
      <c r="J110" s="12" t="str">
        <f t="shared" ca="1" si="12"/>
        <v>Circular</v>
      </c>
      <c r="K110" s="12" t="str">
        <f t="shared" ca="1" si="13"/>
        <v>Linear</v>
      </c>
    </row>
    <row r="111" spans="2:11" ht="30" customHeight="1">
      <c r="B111" s="9">
        <v>105</v>
      </c>
      <c r="C111" s="11">
        <v>9800</v>
      </c>
      <c r="D111" s="12">
        <v>0</v>
      </c>
      <c r="E111" s="12">
        <f t="shared" ca="1" si="8"/>
        <v>661803.29538204893</v>
      </c>
      <c r="F111" s="12">
        <f t="shared" ca="1" si="9"/>
        <v>1519015.9512432138</v>
      </c>
      <c r="G111" s="12">
        <f t="shared" ca="1" si="10"/>
        <v>74.1774149639634</v>
      </c>
      <c r="H111" s="16">
        <f t="shared" ca="1" si="7"/>
        <v>209.64123856687158</v>
      </c>
      <c r="I111" s="14">
        <f t="shared" ca="1" si="11"/>
        <v>85</v>
      </c>
      <c r="J111" s="12" t="str">
        <f t="shared" ca="1" si="12"/>
        <v>Circular</v>
      </c>
      <c r="K111" s="12" t="str">
        <f t="shared" ca="1" si="13"/>
        <v>Linear</v>
      </c>
    </row>
    <row r="112" spans="2:11" ht="30" customHeight="1">
      <c r="B112" s="9">
        <v>106</v>
      </c>
      <c r="C112" s="11">
        <v>9825</v>
      </c>
      <c r="D112" s="12">
        <v>0</v>
      </c>
      <c r="E112" s="12">
        <f t="shared" ca="1" si="8"/>
        <v>661791.54096374754</v>
      </c>
      <c r="F112" s="12">
        <f t="shared" ca="1" si="9"/>
        <v>1518993.8905787654</v>
      </c>
      <c r="G112" s="12">
        <f t="shared" ca="1" si="10"/>
        <v>74.997414572891643</v>
      </c>
      <c r="H112" s="16">
        <f t="shared" ca="1" si="7"/>
        <v>206.45813979361148</v>
      </c>
      <c r="I112" s="14">
        <f t="shared" ca="1" si="11"/>
        <v>85</v>
      </c>
      <c r="J112" s="12" t="str">
        <f t="shared" ca="1" si="12"/>
        <v>Circular</v>
      </c>
      <c r="K112" s="12" t="str">
        <f t="shared" ca="1" si="13"/>
        <v>Linear</v>
      </c>
    </row>
    <row r="113" spans="2:11" ht="30" customHeight="1">
      <c r="B113" s="9">
        <v>107</v>
      </c>
      <c r="C113" s="11">
        <v>9850</v>
      </c>
      <c r="D113" s="12">
        <v>0</v>
      </c>
      <c r="E113" s="12">
        <f t="shared" ca="1" si="8"/>
        <v>661780.97150300618</v>
      </c>
      <c r="F113" s="12">
        <f t="shared" ca="1" si="9"/>
        <v>1518971.2372727939</v>
      </c>
      <c r="G113" s="12">
        <f t="shared" ca="1" si="10"/>
        <v>75.817414181819871</v>
      </c>
      <c r="H113" s="16">
        <f t="shared" ca="1" si="7"/>
        <v>203.79276065936099</v>
      </c>
      <c r="I113" s="14">
        <f t="shared" ca="1" si="11"/>
        <v>52.315251712079437</v>
      </c>
      <c r="J113" s="12" t="str">
        <f t="shared" ca="1" si="12"/>
        <v>Clothoid</v>
      </c>
      <c r="K113" s="12" t="str">
        <f t="shared" ca="1" si="13"/>
        <v>Linear</v>
      </c>
    </row>
    <row r="114" spans="2:11" ht="30" customHeight="1">
      <c r="B114" s="9">
        <v>108</v>
      </c>
      <c r="C114" s="11">
        <v>9875</v>
      </c>
      <c r="D114" s="12">
        <v>0</v>
      </c>
      <c r="E114" s="12">
        <f t="shared" ca="1" si="8"/>
        <v>661771.18159473955</v>
      </c>
      <c r="F114" s="12">
        <f t="shared" ca="1" si="9"/>
        <v>1518948.2343834573</v>
      </c>
      <c r="G114" s="12">
        <f t="shared" ca="1" si="10"/>
        <v>76.637413790748113</v>
      </c>
      <c r="H114" s="16">
        <f t="shared" ca="1" si="7"/>
        <v>202.55707909817932</v>
      </c>
      <c r="I114" s="14">
        <f t="shared" ca="1" si="11"/>
        <v>13.678888075715804</v>
      </c>
      <c r="J114" s="12" t="str">
        <f t="shared" ca="1" si="12"/>
        <v>Clothoid</v>
      </c>
      <c r="K114" s="12" t="str">
        <f t="shared" ca="1" si="13"/>
        <v>Linear</v>
      </c>
    </row>
    <row r="115" spans="2:11" ht="30" customHeight="1">
      <c r="B115" s="9">
        <v>109</v>
      </c>
      <c r="C115" s="11">
        <v>9900</v>
      </c>
      <c r="D115" s="12">
        <v>0</v>
      </c>
      <c r="E115" s="12">
        <f t="shared" ca="1" si="8"/>
        <v>661761.62374584028</v>
      </c>
      <c r="F115" s="12">
        <f t="shared" ca="1" si="9"/>
        <v>1518925.133573018</v>
      </c>
      <c r="G115" s="12">
        <f t="shared" ca="1" si="10"/>
        <v>77.457413399676355</v>
      </c>
      <c r="H115" s="16">
        <f t="shared" ca="1" si="7"/>
        <v>202.46640023079811</v>
      </c>
      <c r="I115" s="14">
        <f t="shared" ca="1" si="11"/>
        <v>0</v>
      </c>
      <c r="J115" s="12" t="str">
        <f t="shared" ca="1" si="12"/>
        <v>Linear</v>
      </c>
      <c r="K115" s="12" t="str">
        <f t="shared" ca="1" si="13"/>
        <v>Linear</v>
      </c>
    </row>
    <row r="116" spans="2:11" ht="30" customHeight="1">
      <c r="B116" s="9">
        <v>110</v>
      </c>
      <c r="C116" s="11">
        <v>9925</v>
      </c>
      <c r="D116" s="12">
        <v>0</v>
      </c>
      <c r="E116" s="12">
        <f t="shared" ca="1" si="8"/>
        <v>661752.09626624384</v>
      </c>
      <c r="F116" s="12">
        <f t="shared" ca="1" si="9"/>
        <v>1518902.0202497465</v>
      </c>
      <c r="G116" s="12">
        <f t="shared" ca="1" si="10"/>
        <v>78.277413008604583</v>
      </c>
      <c r="H116" s="16">
        <f t="shared" ca="1" si="7"/>
        <v>202.16636062078669</v>
      </c>
      <c r="I116" s="14">
        <f t="shared" ca="1" si="11"/>
        <v>24.223333944060869</v>
      </c>
      <c r="J116" s="12" t="str">
        <f t="shared" ca="1" si="12"/>
        <v>Clothoid</v>
      </c>
      <c r="K116" s="12" t="str">
        <f t="shared" ca="1" si="13"/>
        <v>Linear</v>
      </c>
    </row>
    <row r="117" spans="2:11" ht="30" customHeight="1">
      <c r="B117" s="9">
        <v>111</v>
      </c>
      <c r="C117" s="11">
        <v>9950</v>
      </c>
      <c r="D117" s="12">
        <v>0</v>
      </c>
      <c r="E117" s="12">
        <f t="shared" ca="1" si="8"/>
        <v>661742.94074086403</v>
      </c>
      <c r="F117" s="12">
        <f t="shared" ca="1" si="9"/>
        <v>1518878.7578750257</v>
      </c>
      <c r="G117" s="12">
        <f t="shared" ca="1" si="10"/>
        <v>79.092614603150636</v>
      </c>
      <c r="H117" s="16">
        <f t="shared" ca="1" si="7"/>
        <v>200.66131477217917</v>
      </c>
      <c r="I117" s="14">
        <f t="shared" ca="1" si="11"/>
        <v>45</v>
      </c>
      <c r="J117" s="12" t="str">
        <f t="shared" ca="1" si="12"/>
        <v>Circular</v>
      </c>
      <c r="K117" s="12" t="str">
        <f t="shared" ca="1" si="13"/>
        <v>Parabola</v>
      </c>
    </row>
    <row r="118" spans="2:11" ht="30" customHeight="1">
      <c r="B118" s="9">
        <v>112</v>
      </c>
      <c r="C118" s="11">
        <v>9975</v>
      </c>
      <c r="D118" s="12">
        <v>0</v>
      </c>
      <c r="E118" s="12">
        <f t="shared" ca="1" si="8"/>
        <v>661734.47208441515</v>
      </c>
      <c r="F118" s="12">
        <f t="shared" ca="1" si="9"/>
        <v>1518855.2369177926</v>
      </c>
      <c r="G118" s="12">
        <f t="shared" ca="1" si="10"/>
        <v>79.765761302115521</v>
      </c>
      <c r="H118" s="16">
        <f t="shared" ca="1" si="7"/>
        <v>198.97296305894886</v>
      </c>
      <c r="I118" s="14">
        <f t="shared" ca="1" si="11"/>
        <v>36.444898915105114</v>
      </c>
      <c r="J118" s="12" t="str">
        <f t="shared" ca="1" si="12"/>
        <v>Clothoid</v>
      </c>
      <c r="K118" s="12" t="str">
        <f t="shared" ca="1" si="13"/>
        <v>Parabola</v>
      </c>
    </row>
    <row r="119" spans="2:11" ht="30" customHeight="1">
      <c r="B119" s="9">
        <v>113</v>
      </c>
      <c r="C119" s="11">
        <v>10000</v>
      </c>
      <c r="D119" s="12">
        <v>0</v>
      </c>
      <c r="E119" s="12">
        <f t="shared" ca="1" si="8"/>
        <v>661726.53380822029</v>
      </c>
      <c r="F119" s="12">
        <f t="shared" ca="1" si="9"/>
        <v>1518831.5308865339</v>
      </c>
      <c r="G119" s="12">
        <f t="shared" ca="1" si="10"/>
        <v>80.233908098848346</v>
      </c>
      <c r="H119" s="16">
        <f t="shared" ca="1" si="7"/>
        <v>198.29378407097386</v>
      </c>
      <c r="I119" s="14">
        <f t="shared" ca="1" si="11"/>
        <v>0</v>
      </c>
      <c r="J119" s="12" t="str">
        <f t="shared" ca="1" si="12"/>
        <v>Linear</v>
      </c>
      <c r="K119" s="12" t="str">
        <f t="shared" ca="1" si="13"/>
        <v>Parabola</v>
      </c>
    </row>
    <row r="120" spans="2:11" ht="30" customHeight="1">
      <c r="B120" s="9">
        <v>114</v>
      </c>
      <c r="C120" s="11">
        <v>10025</v>
      </c>
      <c r="D120" s="12">
        <v>0</v>
      </c>
      <c r="E120" s="12">
        <f t="shared" ca="1" si="8"/>
        <v>661718.68656962318</v>
      </c>
      <c r="F120" s="12">
        <f t="shared" ca="1" si="9"/>
        <v>1518807.7943988745</v>
      </c>
      <c r="G120" s="12">
        <f t="shared" ca="1" si="10"/>
        <v>80.49705499334911</v>
      </c>
      <c r="H120" s="16">
        <f t="shared" ca="1" si="7"/>
        <v>198.29378407097386</v>
      </c>
      <c r="I120" s="14">
        <f t="shared" ca="1" si="11"/>
        <v>0</v>
      </c>
      <c r="J120" s="12" t="str">
        <f t="shared" ca="1" si="12"/>
        <v>Linear</v>
      </c>
      <c r="K120" s="12" t="str">
        <f t="shared" ca="1" si="13"/>
        <v>Parabola</v>
      </c>
    </row>
    <row r="121" spans="2:11" ht="30" customHeight="1">
      <c r="B121" s="9">
        <v>115</v>
      </c>
      <c r="C121" s="11">
        <v>10050</v>
      </c>
      <c r="D121" s="12">
        <v>0</v>
      </c>
      <c r="E121" s="12">
        <f t="shared" ca="1" si="8"/>
        <v>661710.83933102619</v>
      </c>
      <c r="F121" s="12">
        <f t="shared" ca="1" si="9"/>
        <v>1518784.0579112154</v>
      </c>
      <c r="G121" s="12">
        <f t="shared" ca="1" si="10"/>
        <v>80.56</v>
      </c>
      <c r="H121" s="16">
        <f t="shared" ca="1" si="7"/>
        <v>198.29378407097386</v>
      </c>
      <c r="I121" s="14">
        <f t="shared" ca="1" si="11"/>
        <v>0</v>
      </c>
      <c r="J121" s="12" t="str">
        <f t="shared" ca="1" si="12"/>
        <v>Linear</v>
      </c>
      <c r="K121" s="12" t="str">
        <f t="shared" ca="1" si="13"/>
        <v>Linear</v>
      </c>
    </row>
    <row r="122" spans="2:11" ht="30" customHeight="1">
      <c r="B122" s="9">
        <v>116</v>
      </c>
      <c r="C122" s="11">
        <v>10075</v>
      </c>
      <c r="D122" s="12">
        <v>0</v>
      </c>
      <c r="E122" s="12">
        <f t="shared" ca="1" si="8"/>
        <v>661702.99209242908</v>
      </c>
      <c r="F122" s="12">
        <f t="shared" ca="1" si="9"/>
        <v>1518760.321423556</v>
      </c>
      <c r="G122" s="12">
        <f t="shared" ca="1" si="10"/>
        <v>80.56</v>
      </c>
      <c r="H122" s="16">
        <f t="shared" ca="1" si="7"/>
        <v>198.29378407097386</v>
      </c>
      <c r="I122" s="14">
        <f t="shared" ca="1" si="11"/>
        <v>0</v>
      </c>
      <c r="J122" s="12" t="str">
        <f t="shared" ca="1" si="12"/>
        <v>Linear</v>
      </c>
      <c r="K122" s="12" t="str">
        <f t="shared" ca="1" si="13"/>
        <v>Linear</v>
      </c>
    </row>
    <row r="123" spans="2:11" ht="30" customHeight="1">
      <c r="B123" s="9">
        <v>117</v>
      </c>
      <c r="C123" s="11">
        <v>10100</v>
      </c>
      <c r="D123" s="12">
        <v>0</v>
      </c>
      <c r="E123" s="12">
        <f t="shared" ca="1" si="8"/>
        <v>661695.14485383197</v>
      </c>
      <c r="F123" s="12">
        <f t="shared" ca="1" si="9"/>
        <v>1518736.5849358966</v>
      </c>
      <c r="G123" s="12">
        <f t="shared" ca="1" si="10"/>
        <v>80.56</v>
      </c>
      <c r="H123" s="16">
        <f t="shared" ca="1" si="7"/>
        <v>198.29378407097386</v>
      </c>
      <c r="I123" s="14">
        <f t="shared" ca="1" si="11"/>
        <v>0</v>
      </c>
      <c r="J123" s="12" t="str">
        <f t="shared" ca="1" si="12"/>
        <v>Linear</v>
      </c>
      <c r="K123" s="12" t="str">
        <f t="shared" ca="1" si="13"/>
        <v>Linear</v>
      </c>
    </row>
    <row r="124" spans="2:11" ht="30" customHeight="1">
      <c r="B124" s="9">
        <v>118</v>
      </c>
      <c r="C124" s="11">
        <v>10125</v>
      </c>
      <c r="D124" s="12">
        <v>0</v>
      </c>
      <c r="E124" s="12">
        <f t="shared" ca="1" si="8"/>
        <v>661687.29761523497</v>
      </c>
      <c r="F124" s="12">
        <f t="shared" ca="1" si="9"/>
        <v>1518712.8484482374</v>
      </c>
      <c r="G124" s="12">
        <f t="shared" ca="1" si="10"/>
        <v>80.56</v>
      </c>
      <c r="H124" s="16">
        <f t="shared" ca="1" si="7"/>
        <v>198.29378407097386</v>
      </c>
      <c r="I124" s="14">
        <f t="shared" ca="1" si="11"/>
        <v>0</v>
      </c>
      <c r="J124" s="12" t="str">
        <f t="shared" ca="1" si="12"/>
        <v>Linear</v>
      </c>
      <c r="K124" s="12" t="str">
        <f t="shared" ca="1" si="13"/>
        <v>Linear</v>
      </c>
    </row>
    <row r="125" spans="2:11" ht="30" customHeight="1">
      <c r="B125" s="9">
        <v>119</v>
      </c>
      <c r="C125" s="11">
        <v>10150</v>
      </c>
      <c r="D125" s="12">
        <v>0</v>
      </c>
      <c r="E125" s="12">
        <f t="shared" ca="1" si="8"/>
        <v>661679.45037663786</v>
      </c>
      <c r="F125" s="12">
        <f t="shared" ca="1" si="9"/>
        <v>1518689.111960578</v>
      </c>
      <c r="G125" s="12">
        <f t="shared" ca="1" si="10"/>
        <v>80.56</v>
      </c>
      <c r="H125" s="16">
        <f t="shared" ca="1" si="7"/>
        <v>198.29378407097386</v>
      </c>
      <c r="I125" s="14">
        <f t="shared" ca="1" si="11"/>
        <v>0</v>
      </c>
      <c r="J125" s="12" t="str">
        <f t="shared" ca="1" si="12"/>
        <v>Linear</v>
      </c>
      <c r="K125" s="12" t="str">
        <f t="shared" ca="1" si="13"/>
        <v>Linear</v>
      </c>
    </row>
    <row r="126" spans="2:11" ht="30" customHeight="1">
      <c r="B126" s="9">
        <v>120</v>
      </c>
      <c r="C126" s="11">
        <v>10175</v>
      </c>
      <c r="D126" s="12">
        <v>0</v>
      </c>
      <c r="E126" s="12">
        <f t="shared" ca="1" si="8"/>
        <v>661671.60313804075</v>
      </c>
      <c r="F126" s="12">
        <f t="shared" ca="1" si="9"/>
        <v>1518665.3754729186</v>
      </c>
      <c r="G126" s="12">
        <f t="shared" ca="1" si="10"/>
        <v>80.56</v>
      </c>
      <c r="H126" s="16">
        <f t="shared" ca="1" si="7"/>
        <v>198.29378407097386</v>
      </c>
      <c r="I126" s="14">
        <f t="shared" ca="1" si="11"/>
        <v>0</v>
      </c>
      <c r="J126" s="12" t="str">
        <f t="shared" ca="1" si="12"/>
        <v>Linear</v>
      </c>
      <c r="K126" s="12" t="str">
        <f t="shared" ca="1" si="13"/>
        <v>Linear</v>
      </c>
    </row>
    <row r="127" spans="2:11" ht="30" customHeight="1">
      <c r="B127" s="9">
        <v>121</v>
      </c>
      <c r="C127" s="11">
        <v>10200</v>
      </c>
      <c r="D127" s="12">
        <v>0</v>
      </c>
      <c r="E127" s="12">
        <f t="shared" ca="1" si="8"/>
        <v>661663.75589944364</v>
      </c>
      <c r="F127" s="12">
        <f t="shared" ca="1" si="9"/>
        <v>1518641.6389852595</v>
      </c>
      <c r="G127" s="12">
        <f t="shared" ca="1" si="10"/>
        <v>80.56</v>
      </c>
      <c r="H127" s="16">
        <f t="shared" ca="1" si="7"/>
        <v>198.29378407097386</v>
      </c>
      <c r="I127" s="14">
        <f t="shared" ca="1" si="11"/>
        <v>0</v>
      </c>
      <c r="J127" s="12" t="str">
        <f t="shared" ca="1" si="12"/>
        <v>Linear</v>
      </c>
      <c r="K127" s="12" t="str">
        <f t="shared" ca="1" si="13"/>
        <v>Linear</v>
      </c>
    </row>
    <row r="128" spans="2:11" ht="30" customHeight="1">
      <c r="B128" s="9">
        <v>122</v>
      </c>
      <c r="C128" s="11">
        <v>10225</v>
      </c>
      <c r="D128" s="12">
        <v>0</v>
      </c>
      <c r="E128" s="12">
        <f t="shared" ca="1" si="8"/>
        <v>661655.90866084665</v>
      </c>
      <c r="F128" s="12">
        <f t="shared" ca="1" si="9"/>
        <v>1518617.9024976001</v>
      </c>
      <c r="G128" s="12">
        <f t="shared" ca="1" si="10"/>
        <v>80.56</v>
      </c>
      <c r="H128" s="16">
        <f t="shared" ca="1" si="7"/>
        <v>198.29378407097386</v>
      </c>
      <c r="I128" s="14">
        <f t="shared" ca="1" si="11"/>
        <v>0</v>
      </c>
      <c r="J128" s="12" t="str">
        <f t="shared" ca="1" si="12"/>
        <v>Linear</v>
      </c>
      <c r="K128" s="12" t="str">
        <f t="shared" ca="1" si="13"/>
        <v>Linear</v>
      </c>
    </row>
    <row r="129" spans="2:11" ht="30" customHeight="1">
      <c r="B129" s="9">
        <v>123</v>
      </c>
      <c r="C129" s="11">
        <v>10250</v>
      </c>
      <c r="D129" s="12">
        <v>0</v>
      </c>
      <c r="E129" s="12">
        <f t="shared" ca="1" si="8"/>
        <v>661648.06142224954</v>
      </c>
      <c r="F129" s="12">
        <f t="shared" ca="1" si="9"/>
        <v>1518594.1660099407</v>
      </c>
      <c r="G129" s="12">
        <f t="shared" ca="1" si="10"/>
        <v>80.56</v>
      </c>
      <c r="H129" s="16">
        <f t="shared" ca="1" si="7"/>
        <v>198.29378407097386</v>
      </c>
      <c r="I129" s="14">
        <f t="shared" ca="1" si="11"/>
        <v>0</v>
      </c>
      <c r="J129" s="12" t="str">
        <f t="shared" ca="1" si="12"/>
        <v>Linear</v>
      </c>
      <c r="K129" s="12" t="str">
        <f t="shared" ca="1" si="13"/>
        <v>Linear</v>
      </c>
    </row>
    <row r="130" spans="2:11" ht="30" customHeight="1">
      <c r="B130" s="9">
        <v>124</v>
      </c>
      <c r="C130" s="11">
        <v>10275</v>
      </c>
      <c r="D130" s="12">
        <v>0</v>
      </c>
      <c r="E130" s="12">
        <f t="shared" ca="1" si="8"/>
        <v>661640.21418365242</v>
      </c>
      <c r="F130" s="12">
        <f t="shared" ca="1" si="9"/>
        <v>1518570.4295222815</v>
      </c>
      <c r="G130" s="12">
        <f t="shared" ca="1" si="10"/>
        <v>80.56</v>
      </c>
      <c r="H130" s="16">
        <f t="shared" ca="1" si="7"/>
        <v>198.29378407097386</v>
      </c>
      <c r="I130" s="14">
        <f t="shared" ca="1" si="11"/>
        <v>0</v>
      </c>
      <c r="J130" s="12" t="str">
        <f t="shared" ca="1" si="12"/>
        <v>Linear</v>
      </c>
      <c r="K130" s="12" t="str">
        <f t="shared" ca="1" si="13"/>
        <v>Linear</v>
      </c>
    </row>
    <row r="131" spans="2:11" ht="30" customHeight="1">
      <c r="B131" s="9">
        <v>125</v>
      </c>
      <c r="C131" s="11">
        <v>10300</v>
      </c>
      <c r="D131" s="12">
        <v>0</v>
      </c>
      <c r="E131" s="12">
        <f t="shared" ca="1" si="8"/>
        <v>661632.36694505543</v>
      </c>
      <c r="F131" s="12">
        <f t="shared" ca="1" si="9"/>
        <v>1518546.6930346221</v>
      </c>
      <c r="G131" s="12">
        <f t="shared" ca="1" si="10"/>
        <v>80.56</v>
      </c>
      <c r="H131" s="16">
        <f t="shared" ca="1" si="7"/>
        <v>198.29378407097386</v>
      </c>
      <c r="I131" s="14">
        <f t="shared" ca="1" si="11"/>
        <v>0</v>
      </c>
      <c r="J131" s="12" t="str">
        <f t="shared" ca="1" si="12"/>
        <v>Linear</v>
      </c>
      <c r="K131" s="12" t="str">
        <f t="shared" ca="1" si="13"/>
        <v>Linear</v>
      </c>
    </row>
    <row r="132" spans="2:11" ht="30" customHeight="1">
      <c r="B132" s="9">
        <v>126</v>
      </c>
      <c r="C132" s="11">
        <v>10324.3389999997</v>
      </c>
      <c r="D132" s="12">
        <v>0</v>
      </c>
      <c r="E132" s="12">
        <f t="shared" ca="1" si="8"/>
        <v>661624.7271874469</v>
      </c>
      <c r="F132" s="12">
        <f t="shared" ca="1" si="9"/>
        <v>1518523.5841396968</v>
      </c>
      <c r="G132" s="12">
        <f t="shared" ca="1" si="10"/>
        <v>80.56</v>
      </c>
      <c r="H132" s="16">
        <f t="shared" ca="1" si="7"/>
        <v>198.29378407097386</v>
      </c>
      <c r="I132" s="14">
        <f t="shared" ca="1" si="11"/>
        <v>0</v>
      </c>
      <c r="J132" s="12" t="str">
        <f t="shared" ca="1" si="12"/>
        <v>Linear</v>
      </c>
      <c r="K132" s="12" t="str">
        <f t="shared" ca="1" si="13"/>
        <v>Linear</v>
      </c>
    </row>
    <row r="133" spans="2:11" ht="30" customHeight="1">
      <c r="J133" s="12"/>
    </row>
    <row r="134" spans="2:11" ht="30" customHeight="1">
      <c r="J134" s="12"/>
    </row>
    <row r="135" spans="2:11" ht="30" customHeight="1">
      <c r="J135" s="12"/>
    </row>
    <row r="136" spans="2:11" ht="30" customHeight="1">
      <c r="J136" s="12"/>
    </row>
    <row r="137" spans="2:11" ht="30" customHeight="1">
      <c r="J137" s="12"/>
    </row>
    <row r="138" spans="2:11" ht="30" customHeight="1">
      <c r="J138" s="12"/>
    </row>
    <row r="139" spans="2:11" ht="30" customHeight="1">
      <c r="J139" s="12"/>
    </row>
    <row r="140" spans="2:11" ht="30" customHeight="1">
      <c r="J140" s="12"/>
    </row>
    <row r="141" spans="2:11" ht="30" customHeight="1">
      <c r="J141" s="12"/>
    </row>
    <row r="142" spans="2:11" ht="30" customHeight="1">
      <c r="J142" s="12"/>
    </row>
    <row r="143" spans="2:11" ht="30" customHeight="1">
      <c r="J143" s="12"/>
    </row>
    <row r="144" spans="2:11" ht="30" customHeight="1">
      <c r="J144" s="12"/>
    </row>
    <row r="145" spans="10:10" ht="30" customHeight="1">
      <c r="J145" s="12"/>
    </row>
    <row r="146" spans="10:10" ht="30" customHeight="1">
      <c r="J146" s="12"/>
    </row>
    <row r="147" spans="10:10" ht="30" customHeight="1">
      <c r="J147" s="12"/>
    </row>
    <row r="148" spans="10:10" ht="30" customHeight="1">
      <c r="J148" s="12"/>
    </row>
    <row r="149" spans="10:10" ht="30" customHeight="1">
      <c r="J149" s="12"/>
    </row>
    <row r="150" spans="10:10" ht="30" customHeight="1">
      <c r="J150" s="12"/>
    </row>
    <row r="151" spans="10:10" ht="30" customHeight="1">
      <c r="J151" s="12"/>
    </row>
    <row r="152" spans="10:10" ht="30" customHeight="1">
      <c r="J152" s="12"/>
    </row>
    <row r="153" spans="10:10" ht="30" customHeight="1">
      <c r="J153" s="12"/>
    </row>
    <row r="154" spans="10:10" ht="30" customHeight="1">
      <c r="J154" s="12"/>
    </row>
    <row r="155" spans="10:10" ht="30" customHeight="1">
      <c r="J155" s="12"/>
    </row>
    <row r="156" spans="10:10" ht="30" customHeight="1">
      <c r="J156" s="12"/>
    </row>
    <row r="157" spans="10:10" ht="30" customHeight="1">
      <c r="J157" s="12"/>
    </row>
    <row r="158" spans="10:10" ht="30" customHeight="1">
      <c r="J158" s="12"/>
    </row>
    <row r="159" spans="10:10" ht="30" customHeight="1">
      <c r="J159" s="12"/>
    </row>
    <row r="160" spans="10:10" ht="30" customHeight="1">
      <c r="J160" s="12"/>
    </row>
    <row r="161" spans="10:10" ht="30" customHeight="1">
      <c r="J161" s="12"/>
    </row>
    <row r="162" spans="10:10" ht="30" customHeight="1">
      <c r="J162" s="12"/>
    </row>
    <row r="163" spans="10:10" ht="30" customHeight="1">
      <c r="J163" s="12"/>
    </row>
    <row r="164" spans="10:10" ht="30" customHeight="1">
      <c r="J164" s="12"/>
    </row>
  </sheetData>
  <mergeCells count="2">
    <mergeCell ref="J4:K4"/>
    <mergeCell ref="E4:I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D3327-A88C-430B-99D9-871194B3C321}">
  <sheetPr codeName="Sheet8">
    <tabColor rgb="FF00B050"/>
  </sheetPr>
  <dimension ref="B1:P164"/>
  <sheetViews>
    <sheetView zoomScale="70" zoomScaleNormal="70" workbookViewId="0">
      <selection activeCell="E11" sqref="E11"/>
    </sheetView>
  </sheetViews>
  <sheetFormatPr defaultColWidth="15.77734375" defaultRowHeight="30" customHeight="1"/>
  <cols>
    <col min="1" max="1" width="6.33203125" style="9" customWidth="1"/>
    <col min="2" max="2" width="11.6640625" style="9" customWidth="1"/>
    <col min="3" max="3" width="25.77734375" style="11" customWidth="1"/>
    <col min="4" max="8" width="25.77734375" style="12" customWidth="1"/>
    <col min="9" max="9" width="25.77734375" style="16" customWidth="1"/>
    <col min="10" max="10" width="15.77734375" style="9" customWidth="1"/>
    <col min="11" max="11" width="15.77734375" style="12" customWidth="1"/>
    <col min="12" max="13" width="25.77734375" style="12" customWidth="1"/>
    <col min="14" max="15" width="29.44140625" style="12" customWidth="1"/>
    <col min="16" max="16" width="13.33203125" style="12" customWidth="1"/>
    <col min="17" max="17" width="13.33203125" style="9" customWidth="1"/>
    <col min="18" max="16384" width="15.77734375" style="9"/>
  </cols>
  <sheetData>
    <row r="1" spans="2:16" ht="30" customHeight="1">
      <c r="C1" s="9"/>
      <c r="F1" s="9"/>
      <c r="G1" s="9"/>
      <c r="H1" s="9"/>
      <c r="I1" s="9"/>
      <c r="K1" s="9"/>
      <c r="L1" s="9"/>
      <c r="M1" s="9"/>
      <c r="N1" s="9"/>
      <c r="O1" s="9"/>
      <c r="P1" s="9"/>
    </row>
    <row r="2" spans="2:16" ht="30" customHeight="1">
      <c r="C2" s="3" t="s">
        <v>234</v>
      </c>
      <c r="D2" s="15" t="s">
        <v>240</v>
      </c>
      <c r="E2" s="3" t="s">
        <v>235</v>
      </c>
      <c r="F2" s="13" t="s">
        <v>241</v>
      </c>
      <c r="G2" s="3" t="s">
        <v>243</v>
      </c>
      <c r="H2" s="13" t="s">
        <v>244</v>
      </c>
      <c r="I2" s="9"/>
      <c r="K2" s="9"/>
      <c r="L2" s="9"/>
      <c r="M2" s="9"/>
      <c r="N2" s="9"/>
      <c r="O2" s="9"/>
      <c r="P2" s="9"/>
    </row>
    <row r="3" spans="2:16" ht="30" customHeight="1">
      <c r="C3" s="9"/>
      <c r="F3" s="9"/>
      <c r="G3" s="9"/>
      <c r="H3" s="9"/>
      <c r="I3" s="9"/>
      <c r="K3" s="9"/>
      <c r="L3" s="9"/>
      <c r="M3" s="9"/>
      <c r="N3" s="9"/>
      <c r="O3" s="9"/>
      <c r="P3" s="9"/>
    </row>
    <row r="4" spans="2:16" ht="30" customHeight="1">
      <c r="B4" s="3"/>
      <c r="C4" s="3"/>
      <c r="D4" s="20" t="s">
        <v>237</v>
      </c>
      <c r="E4" s="20"/>
      <c r="F4" s="19" t="s">
        <v>219</v>
      </c>
      <c r="G4" s="19"/>
      <c r="H4" s="19"/>
      <c r="I4" s="19"/>
      <c r="J4" s="19" t="s">
        <v>220</v>
      </c>
      <c r="K4" s="19"/>
      <c r="L4" s="3"/>
      <c r="M4" s="3"/>
      <c r="N4" s="19" t="s">
        <v>233</v>
      </c>
      <c r="O4" s="19"/>
      <c r="P4" s="9"/>
    </row>
    <row r="5" spans="2:16" ht="30" customHeight="1">
      <c r="B5" s="3" t="s">
        <v>216</v>
      </c>
      <c r="C5" s="3" t="s">
        <v>217</v>
      </c>
      <c r="D5" s="10" t="s">
        <v>228</v>
      </c>
      <c r="E5" s="10" t="s">
        <v>229</v>
      </c>
      <c r="F5" s="3" t="s">
        <v>221</v>
      </c>
      <c r="G5" s="3" t="s">
        <v>222</v>
      </c>
      <c r="H5" s="3" t="s">
        <v>238</v>
      </c>
      <c r="I5" s="3" t="s">
        <v>224</v>
      </c>
      <c r="J5" s="3" t="s">
        <v>228</v>
      </c>
      <c r="K5" s="3" t="s">
        <v>229</v>
      </c>
      <c r="L5" s="3" t="s">
        <v>239</v>
      </c>
      <c r="M5" s="3"/>
      <c r="N5" s="3" t="s">
        <v>225</v>
      </c>
      <c r="O5" s="3" t="s">
        <v>226</v>
      </c>
      <c r="P5" s="9"/>
    </row>
    <row r="6" spans="2:16" ht="30" customHeight="1">
      <c r="B6" s="3"/>
      <c r="C6" s="10" t="s">
        <v>227</v>
      </c>
      <c r="D6" s="10" t="s">
        <v>227</v>
      </c>
      <c r="E6" s="10" t="s">
        <v>227</v>
      </c>
      <c r="F6" s="3" t="s">
        <v>227</v>
      </c>
      <c r="G6" s="3" t="s">
        <v>227</v>
      </c>
      <c r="H6" s="3" t="s">
        <v>227</v>
      </c>
      <c r="I6" s="3" t="s">
        <v>245</v>
      </c>
      <c r="J6" s="3"/>
      <c r="K6" s="9"/>
      <c r="L6" s="9"/>
      <c r="M6" s="9"/>
      <c r="N6" s="9"/>
      <c r="O6" s="9"/>
      <c r="P6" s="9"/>
    </row>
    <row r="7" spans="2:16" ht="30" customHeight="1">
      <c r="B7" s="9">
        <v>1</v>
      </c>
      <c r="C7" s="11">
        <v>7202.8339999999998</v>
      </c>
      <c r="D7" s="12">
        <f ca="1">TunnelOffset(C7,INDIRECT($H$2),"H")</f>
        <v>-0.11</v>
      </c>
      <c r="E7" s="12">
        <f ca="1">TunnelOffset(C7,INDIRECT($H$2),"V")</f>
        <v>2</v>
      </c>
      <c r="F7" s="12">
        <f ca="1">Hor(C7,D7,INDIRECT($D$2),"E")</f>
        <v>662670.40013948572</v>
      </c>
      <c r="G7" s="12">
        <f ca="1">Hor(C7,D7,INDIRECT($D$2),"N")</f>
        <v>1521355.9014527763</v>
      </c>
      <c r="H7" s="12">
        <f ca="1">ver(C7,INDIRECT($F$2))+E7</f>
        <v>69.2</v>
      </c>
      <c r="I7" s="16">
        <f t="shared" ref="I7:I38" ca="1" si="0">DegtoDMSStr3(Hor(C7,D7,INDIRECT($D$2),"W"))</f>
        <v>150.55346500000002</v>
      </c>
      <c r="J7" s="12" t="str">
        <f ca="1">HorType(C7,INDIRECT($D$2))</f>
        <v>Linear</v>
      </c>
      <c r="K7" s="12" t="str">
        <f ca="1">VerType(C7,INDIRECT($F$2))</f>
        <v>Linear</v>
      </c>
      <c r="L7" s="12" t="s">
        <v>16</v>
      </c>
      <c r="P7" s="9"/>
    </row>
    <row r="8" spans="2:16" ht="30" customHeight="1">
      <c r="B8" s="9">
        <v>2</v>
      </c>
      <c r="C8" s="11">
        <v>7220</v>
      </c>
      <c r="D8" s="12">
        <f t="shared" ref="D8:D71" ca="1" si="1">TunnelOffset(C8,INDIRECT($H$2),"H")</f>
        <v>-0.11</v>
      </c>
      <c r="E8" s="12">
        <f t="shared" ref="E8:E71" ca="1" si="2">TunnelOffset(C8,INDIRECT($H$2),"V")</f>
        <v>2</v>
      </c>
      <c r="F8" s="12">
        <f t="shared" ref="F8:F71" ca="1" si="3">Hor(C8,D8,INDIRECT($D$2),"E")</f>
        <v>662678.74168753508</v>
      </c>
      <c r="G8" s="12">
        <f t="shared" ref="G8:G71" ca="1" si="4">Hor(C8,D8,INDIRECT($D$2),"N")</f>
        <v>1521340.8984486724</v>
      </c>
      <c r="H8" s="12">
        <f t="shared" ref="H8:H71" ca="1" si="5">ver(C8,INDIRECT($F$2))+E8</f>
        <v>69.2</v>
      </c>
      <c r="I8" s="16">
        <f t="shared" ca="1" si="0"/>
        <v>150.55346500000002</v>
      </c>
      <c r="J8" s="12" t="str">
        <f t="shared" ref="J8:J71" ca="1" si="6">HorType(C8,INDIRECT($D$2))</f>
        <v>Linear</v>
      </c>
      <c r="K8" s="12" t="str">
        <f t="shared" ref="K8:K71" ca="1" si="7">VerType(C8,INDIRECT($F$2))</f>
        <v>Linear</v>
      </c>
      <c r="P8" s="9"/>
    </row>
    <row r="9" spans="2:16" ht="30" customHeight="1">
      <c r="B9" s="9">
        <v>3</v>
      </c>
      <c r="C9" s="11">
        <v>7240</v>
      </c>
      <c r="D9" s="12">
        <f t="shared" ca="1" si="1"/>
        <v>-0.11</v>
      </c>
      <c r="E9" s="12">
        <f t="shared" ca="1" si="2"/>
        <v>2</v>
      </c>
      <c r="F9" s="12">
        <f t="shared" ca="1" si="3"/>
        <v>662688.46037336683</v>
      </c>
      <c r="G9" s="12">
        <f t="shared" ca="1" si="4"/>
        <v>1521323.418541759</v>
      </c>
      <c r="H9" s="12">
        <f t="shared" ca="1" si="5"/>
        <v>69.203652475833948</v>
      </c>
      <c r="I9" s="16">
        <f t="shared" ca="1" si="0"/>
        <v>150.55346500000002</v>
      </c>
      <c r="J9" s="12" t="str">
        <f t="shared" ca="1" si="6"/>
        <v>Linear</v>
      </c>
      <c r="K9" s="12" t="str">
        <f t="shared" ca="1" si="7"/>
        <v>Parabola</v>
      </c>
      <c r="P9" s="9"/>
    </row>
    <row r="10" spans="2:16" ht="30" customHeight="1">
      <c r="B10" s="9">
        <v>4</v>
      </c>
      <c r="C10" s="11">
        <v>7260</v>
      </c>
      <c r="D10" s="12">
        <f t="shared" ca="1" si="1"/>
        <v>-0.11</v>
      </c>
      <c r="E10" s="12">
        <f t="shared" ca="1" si="2"/>
        <v>2</v>
      </c>
      <c r="F10" s="12">
        <f t="shared" ca="1" si="3"/>
        <v>662698.17905919848</v>
      </c>
      <c r="G10" s="12">
        <f t="shared" ca="1" si="4"/>
        <v>1521305.9386348454</v>
      </c>
      <c r="H10" s="12">
        <f t="shared" ca="1" si="5"/>
        <v>69.305911663599545</v>
      </c>
      <c r="I10" s="16">
        <f t="shared" ca="1" si="0"/>
        <v>150.55346500000002</v>
      </c>
      <c r="J10" s="12" t="str">
        <f t="shared" ca="1" si="6"/>
        <v>Linear</v>
      </c>
      <c r="K10" s="12" t="str">
        <f t="shared" ca="1" si="7"/>
        <v>Parabola</v>
      </c>
      <c r="P10" s="9"/>
    </row>
    <row r="11" spans="2:16" ht="30" customHeight="1">
      <c r="B11" s="9">
        <v>5</v>
      </c>
      <c r="C11" s="11">
        <v>7280</v>
      </c>
      <c r="D11" s="12">
        <f t="shared" ca="1" si="1"/>
        <v>-0.11</v>
      </c>
      <c r="E11" s="12">
        <f t="shared" ca="1" si="2"/>
        <v>2</v>
      </c>
      <c r="F11" s="12">
        <f t="shared" ca="1" si="3"/>
        <v>662707.89774503023</v>
      </c>
      <c r="G11" s="12">
        <f t="shared" ca="1" si="4"/>
        <v>1521288.4587279321</v>
      </c>
      <c r="H11" s="12">
        <f t="shared" ca="1" si="5"/>
        <v>69.548626157304383</v>
      </c>
      <c r="I11" s="16">
        <f t="shared" ca="1" si="0"/>
        <v>150.55346500000002</v>
      </c>
      <c r="J11" s="12" t="str">
        <f t="shared" ca="1" si="6"/>
        <v>Linear</v>
      </c>
      <c r="K11" s="12" t="str">
        <f t="shared" ca="1" si="7"/>
        <v>Parabola</v>
      </c>
      <c r="P11" s="9"/>
    </row>
    <row r="12" spans="2:16" ht="30" customHeight="1">
      <c r="B12" s="9">
        <v>6</v>
      </c>
      <c r="C12" s="11">
        <v>7300</v>
      </c>
      <c r="D12" s="12">
        <f t="shared" ca="1" si="1"/>
        <v>-5.5510664332417498E-2</v>
      </c>
      <c r="E12" s="12">
        <f t="shared" ca="1" si="2"/>
        <v>2</v>
      </c>
      <c r="F12" s="12">
        <f t="shared" ca="1" si="3"/>
        <v>662717.39606474491</v>
      </c>
      <c r="G12" s="12">
        <f t="shared" ca="1" si="4"/>
        <v>1521270.8564321611</v>
      </c>
      <c r="H12" s="12">
        <f t="shared" ca="1" si="5"/>
        <v>69.931795956948477</v>
      </c>
      <c r="I12" s="16">
        <f t="shared" ca="1" si="0"/>
        <v>152.413194</v>
      </c>
      <c r="J12" s="12" t="str">
        <f t="shared" ca="1" si="6"/>
        <v>Clothoid</v>
      </c>
      <c r="K12" s="12" t="str">
        <f t="shared" ca="1" si="7"/>
        <v>Parabola</v>
      </c>
      <c r="P12" s="9"/>
    </row>
    <row r="13" spans="2:16" ht="30" customHeight="1">
      <c r="B13" s="9">
        <v>7</v>
      </c>
      <c r="C13" s="11">
        <v>7320</v>
      </c>
      <c r="D13" s="12">
        <f t="shared" ca="1" si="1"/>
        <v>-2.5000000000000001E-2</v>
      </c>
      <c r="E13" s="12">
        <f t="shared" ca="1" si="2"/>
        <v>2</v>
      </c>
      <c r="F13" s="12">
        <f t="shared" ca="1" si="3"/>
        <v>662725.78676637402</v>
      </c>
      <c r="G13" s="12">
        <f t="shared" ca="1" si="4"/>
        <v>1521252.7055844555</v>
      </c>
      <c r="H13" s="12">
        <f t="shared" ca="1" si="5"/>
        <v>70.455421062531812</v>
      </c>
      <c r="I13" s="16">
        <f t="shared" ca="1" si="0"/>
        <v>157.520521</v>
      </c>
      <c r="J13" s="12" t="str">
        <f t="shared" ca="1" si="6"/>
        <v>Circular</v>
      </c>
      <c r="K13" s="12" t="str">
        <f t="shared" ca="1" si="7"/>
        <v>Parabola</v>
      </c>
      <c r="P13" s="9"/>
    </row>
    <row r="14" spans="2:16" ht="30" customHeight="1">
      <c r="B14" s="9">
        <v>8</v>
      </c>
      <c r="C14" s="11">
        <v>7340</v>
      </c>
      <c r="D14" s="12">
        <f t="shared" ca="1" si="1"/>
        <v>-2.5000000000000001E-2</v>
      </c>
      <c r="E14" s="12">
        <f t="shared" ca="1" si="2"/>
        <v>2</v>
      </c>
      <c r="F14" s="12">
        <f t="shared" ca="1" si="3"/>
        <v>662732.38428676117</v>
      </c>
      <c r="G14" s="12">
        <f t="shared" ca="1" si="4"/>
        <v>1521233.8312784964</v>
      </c>
      <c r="H14" s="12">
        <f t="shared" ca="1" si="5"/>
        <v>71.082276317580039</v>
      </c>
      <c r="I14" s="16">
        <f t="shared" ca="1" si="0"/>
        <v>163.35516899999999</v>
      </c>
      <c r="J14" s="12" t="str">
        <f t="shared" ca="1" si="6"/>
        <v>Circular</v>
      </c>
      <c r="K14" s="12" t="str">
        <f t="shared" ca="1" si="7"/>
        <v>Linear</v>
      </c>
      <c r="P14" s="9"/>
    </row>
    <row r="15" spans="2:16" ht="30" customHeight="1">
      <c r="B15" s="9">
        <v>9</v>
      </c>
      <c r="C15" s="11">
        <v>7360</v>
      </c>
      <c r="D15" s="12">
        <f t="shared" ca="1" si="1"/>
        <v>-2.5000000000000001E-2</v>
      </c>
      <c r="E15" s="12">
        <f t="shared" ca="1" si="2"/>
        <v>2</v>
      </c>
      <c r="F15" s="12">
        <f t="shared" ca="1" si="3"/>
        <v>662737.06456057599</v>
      </c>
      <c r="G15" s="12">
        <f t="shared" ca="1" si="4"/>
        <v>1521214.3926124487</v>
      </c>
      <c r="H15" s="12">
        <f t="shared" ca="1" si="5"/>
        <v>71.714325194306653</v>
      </c>
      <c r="I15" s="16">
        <f t="shared" ca="1" si="0"/>
        <v>169.193817</v>
      </c>
      <c r="J15" s="12" t="str">
        <f t="shared" ca="1" si="6"/>
        <v>Circular</v>
      </c>
      <c r="K15" s="12" t="str">
        <f t="shared" ca="1" si="7"/>
        <v>Linear</v>
      </c>
      <c r="P15" s="9"/>
    </row>
    <row r="16" spans="2:16" ht="30" customHeight="1">
      <c r="B16" s="9">
        <v>10</v>
      </c>
      <c r="C16" s="11">
        <v>7380</v>
      </c>
      <c r="D16" s="12">
        <f t="shared" ca="1" si="1"/>
        <v>-2.5000000000000001E-2</v>
      </c>
      <c r="E16" s="12">
        <f t="shared" ca="1" si="2"/>
        <v>2</v>
      </c>
      <c r="F16" s="12">
        <f t="shared" ca="1" si="3"/>
        <v>662739.78082406987</v>
      </c>
      <c r="G16" s="12">
        <f t="shared" ca="1" si="4"/>
        <v>1521194.5838110379</v>
      </c>
      <c r="H16" s="12">
        <f t="shared" ca="1" si="5"/>
        <v>72.346374071033253</v>
      </c>
      <c r="I16" s="16">
        <f t="shared" ca="1" si="0"/>
        <v>175.032465</v>
      </c>
      <c r="J16" s="12" t="str">
        <f t="shared" ca="1" si="6"/>
        <v>Circular</v>
      </c>
      <c r="K16" s="12" t="str">
        <f t="shared" ca="1" si="7"/>
        <v>Linear</v>
      </c>
      <c r="P16" s="9"/>
    </row>
    <row r="17" spans="2:16" ht="30" customHeight="1">
      <c r="B17" s="9">
        <v>11</v>
      </c>
      <c r="C17" s="11">
        <v>7400</v>
      </c>
      <c r="D17" s="12">
        <f t="shared" ca="1" si="1"/>
        <v>-2.5000000000000001E-2</v>
      </c>
      <c r="E17" s="12">
        <f t="shared" ca="1" si="2"/>
        <v>2</v>
      </c>
      <c r="F17" s="12">
        <f t="shared" ca="1" si="3"/>
        <v>662740.50593723566</v>
      </c>
      <c r="G17" s="12">
        <f t="shared" ca="1" si="4"/>
        <v>1521174.6027972598</v>
      </c>
      <c r="H17" s="12">
        <f t="shared" ca="1" si="5"/>
        <v>72.978422947759867</v>
      </c>
      <c r="I17" s="16">
        <f t="shared" ca="1" si="0"/>
        <v>180.471113</v>
      </c>
      <c r="J17" s="12" t="str">
        <f t="shared" ca="1" si="6"/>
        <v>Circular</v>
      </c>
      <c r="K17" s="12" t="str">
        <f t="shared" ca="1" si="7"/>
        <v>Linear</v>
      </c>
      <c r="P17" s="9"/>
    </row>
    <row r="18" spans="2:16" ht="30" customHeight="1">
      <c r="B18" s="9">
        <v>12</v>
      </c>
      <c r="C18" s="11">
        <v>7420</v>
      </c>
      <c r="D18" s="12">
        <f t="shared" ca="1" si="1"/>
        <v>-2.5000000000000001E-2</v>
      </c>
      <c r="E18" s="12">
        <f t="shared" ca="1" si="2"/>
        <v>2</v>
      </c>
      <c r="F18" s="12">
        <f t="shared" ca="1" si="3"/>
        <v>662739.2326549826</v>
      </c>
      <c r="G18" s="12">
        <f t="shared" ca="1" si="4"/>
        <v>1521154.6492147995</v>
      </c>
      <c r="H18" s="12">
        <f t="shared" ca="1" si="5"/>
        <v>73.610471824486467</v>
      </c>
      <c r="I18" s="16">
        <f t="shared" ca="1" si="0"/>
        <v>186.30576100000002</v>
      </c>
      <c r="J18" s="12" t="str">
        <f t="shared" ca="1" si="6"/>
        <v>Circular</v>
      </c>
      <c r="K18" s="12" t="str">
        <f t="shared" ca="1" si="7"/>
        <v>Linear</v>
      </c>
      <c r="P18" s="9"/>
    </row>
    <row r="19" spans="2:16" ht="30" customHeight="1">
      <c r="B19" s="9">
        <v>13</v>
      </c>
      <c r="C19" s="11">
        <v>7440</v>
      </c>
      <c r="D19" s="12">
        <f t="shared" ca="1" si="1"/>
        <v>-4.6509996424146716E-2</v>
      </c>
      <c r="E19" s="12">
        <f t="shared" ca="1" si="2"/>
        <v>2</v>
      </c>
      <c r="F19" s="12">
        <f t="shared" ca="1" si="3"/>
        <v>662736.00668054877</v>
      </c>
      <c r="G19" s="12">
        <f t="shared" ca="1" si="4"/>
        <v>1521134.9156433644</v>
      </c>
      <c r="H19" s="12">
        <f t="shared" ca="1" si="5"/>
        <v>74.242520701213067</v>
      </c>
      <c r="I19" s="16">
        <f t="shared" ca="1" si="0"/>
        <v>191.581343</v>
      </c>
      <c r="J19" s="12" t="str">
        <f t="shared" ca="1" si="6"/>
        <v>Clothoid</v>
      </c>
      <c r="K19" s="12" t="str">
        <f t="shared" ca="1" si="7"/>
        <v>Linear</v>
      </c>
      <c r="P19" s="9"/>
    </row>
    <row r="20" spans="2:16" ht="30" customHeight="1">
      <c r="B20" s="9">
        <v>14</v>
      </c>
      <c r="C20" s="11">
        <v>7460</v>
      </c>
      <c r="D20" s="12">
        <f t="shared" ca="1" si="1"/>
        <v>-0.10317666309081339</v>
      </c>
      <c r="E20" s="12">
        <f t="shared" ca="1" si="2"/>
        <v>2</v>
      </c>
      <c r="F20" s="12">
        <f t="shared" ca="1" si="3"/>
        <v>662731.40153894632</v>
      </c>
      <c r="G20" s="12">
        <f t="shared" ca="1" si="4"/>
        <v>1521115.4516351712</v>
      </c>
      <c r="H20" s="12">
        <f t="shared" ca="1" si="5"/>
        <v>74.874569577939681</v>
      </c>
      <c r="I20" s="16">
        <f t="shared" ca="1" si="0"/>
        <v>194.20246999999998</v>
      </c>
      <c r="J20" s="12" t="str">
        <f t="shared" ca="1" si="6"/>
        <v>Clothoid</v>
      </c>
      <c r="K20" s="12" t="str">
        <f t="shared" ca="1" si="7"/>
        <v>Linear</v>
      </c>
      <c r="P20" s="9"/>
    </row>
    <row r="21" spans="2:16" ht="30" customHeight="1">
      <c r="B21" s="9">
        <v>15</v>
      </c>
      <c r="C21" s="11">
        <v>7480</v>
      </c>
      <c r="D21" s="12">
        <f t="shared" ca="1" si="1"/>
        <v>-0.11</v>
      </c>
      <c r="E21" s="12">
        <f t="shared" ca="1" si="2"/>
        <v>2</v>
      </c>
      <c r="F21" s="12">
        <f t="shared" ca="1" si="3"/>
        <v>662726.44557488023</v>
      </c>
      <c r="G21" s="12">
        <f t="shared" ca="1" si="4"/>
        <v>1521096.0753491358</v>
      </c>
      <c r="H21" s="12">
        <f t="shared" ca="1" si="5"/>
        <v>75.506618454666281</v>
      </c>
      <c r="I21" s="16">
        <f t="shared" ca="1" si="0"/>
        <v>194.220439</v>
      </c>
      <c r="J21" s="12" t="str">
        <f t="shared" ca="1" si="6"/>
        <v>Linear</v>
      </c>
      <c r="K21" s="12" t="str">
        <f t="shared" ca="1" si="7"/>
        <v>Linear</v>
      </c>
      <c r="P21" s="9"/>
    </row>
    <row r="22" spans="2:16" ht="30" customHeight="1">
      <c r="B22" s="9">
        <v>16</v>
      </c>
      <c r="C22" s="11">
        <v>7500</v>
      </c>
      <c r="D22" s="12">
        <f t="shared" ca="1" si="1"/>
        <v>-0.11</v>
      </c>
      <c r="E22" s="12">
        <f t="shared" ca="1" si="2"/>
        <v>2</v>
      </c>
      <c r="F22" s="12">
        <f t="shared" ca="1" si="3"/>
        <v>662721.48291687574</v>
      </c>
      <c r="G22" s="12">
        <f t="shared" ca="1" si="4"/>
        <v>1521076.7008507254</v>
      </c>
      <c r="H22" s="12">
        <f t="shared" ca="1" si="5"/>
        <v>76.138667331392895</v>
      </c>
      <c r="I22" s="16">
        <f t="shared" ca="1" si="0"/>
        <v>194.21251900000001</v>
      </c>
      <c r="J22" s="12" t="str">
        <f t="shared" ca="1" si="6"/>
        <v>Clothoid</v>
      </c>
      <c r="K22" s="12" t="str">
        <f t="shared" ca="1" si="7"/>
        <v>Linear</v>
      </c>
      <c r="P22" s="9"/>
    </row>
    <row r="23" spans="2:16" ht="30" customHeight="1">
      <c r="B23" s="9">
        <v>17</v>
      </c>
      <c r="C23" s="11">
        <v>7520</v>
      </c>
      <c r="D23" s="12">
        <f t="shared" ca="1" si="1"/>
        <v>-0.11</v>
      </c>
      <c r="E23" s="12">
        <f t="shared" ca="1" si="2"/>
        <v>2</v>
      </c>
      <c r="F23" s="12">
        <f t="shared" ca="1" si="3"/>
        <v>662716.56341057667</v>
      </c>
      <c r="G23" s="12">
        <f t="shared" ca="1" si="4"/>
        <v>1521057.3159551395</v>
      </c>
      <c r="H23" s="12">
        <f t="shared" ca="1" si="5"/>
        <v>76.770716208119495</v>
      </c>
      <c r="I23" s="16">
        <f t="shared" ca="1" si="0"/>
        <v>194.031218</v>
      </c>
      <c r="J23" s="12" t="str">
        <f t="shared" ca="1" si="6"/>
        <v>Clothoid</v>
      </c>
      <c r="K23" s="12" t="str">
        <f t="shared" ca="1" si="7"/>
        <v>Linear</v>
      </c>
      <c r="P23" s="9"/>
    </row>
    <row r="24" spans="2:16" ht="30" customHeight="1">
      <c r="B24" s="9">
        <v>18</v>
      </c>
      <c r="C24" s="11">
        <v>7540</v>
      </c>
      <c r="D24" s="12">
        <f t="shared" ca="1" si="1"/>
        <v>-0.11</v>
      </c>
      <c r="E24" s="12">
        <f t="shared" ca="1" si="2"/>
        <v>2</v>
      </c>
      <c r="F24" s="12">
        <f t="shared" ca="1" si="3"/>
        <v>662711.795356291</v>
      </c>
      <c r="G24" s="12">
        <f t="shared" ca="1" si="4"/>
        <v>1521037.8937278446</v>
      </c>
      <c r="H24" s="12">
        <f t="shared" ca="1" si="5"/>
        <v>77.402765084846095</v>
      </c>
      <c r="I24" s="16">
        <f t="shared" ca="1" si="0"/>
        <v>193.31573800000001</v>
      </c>
      <c r="J24" s="12" t="str">
        <f t="shared" ca="1" si="6"/>
        <v>Circular</v>
      </c>
      <c r="K24" s="12" t="str">
        <f t="shared" ca="1" si="7"/>
        <v>Linear</v>
      </c>
      <c r="P24" s="9"/>
    </row>
    <row r="25" spans="2:16" ht="30" customHeight="1">
      <c r="B25" s="9">
        <v>19</v>
      </c>
      <c r="C25" s="11">
        <v>7560</v>
      </c>
      <c r="D25" s="12">
        <f t="shared" ca="1" si="1"/>
        <v>-0.11</v>
      </c>
      <c r="E25" s="12">
        <f t="shared" ca="1" si="2"/>
        <v>2</v>
      </c>
      <c r="F25" s="12">
        <f t="shared" ca="1" si="3"/>
        <v>662707.19619356922</v>
      </c>
      <c r="G25" s="12">
        <f t="shared" ca="1" si="4"/>
        <v>1521018.4305969586</v>
      </c>
      <c r="H25" s="12">
        <f t="shared" ca="1" si="5"/>
        <v>78.030326815842557</v>
      </c>
      <c r="I25" s="16">
        <f t="shared" ca="1" si="0"/>
        <v>193.06414599999999</v>
      </c>
      <c r="J25" s="12" t="str">
        <f t="shared" ca="1" si="6"/>
        <v>Clothoid</v>
      </c>
      <c r="K25" s="12" t="str">
        <f t="shared" ca="1" si="7"/>
        <v>Parabola</v>
      </c>
      <c r="P25" s="9"/>
    </row>
    <row r="26" spans="2:16" ht="30" customHeight="1">
      <c r="B26" s="9">
        <v>20</v>
      </c>
      <c r="C26" s="11">
        <v>7580</v>
      </c>
      <c r="D26" s="12">
        <f t="shared" ca="1" si="1"/>
        <v>-0.11</v>
      </c>
      <c r="E26" s="12">
        <f t="shared" ca="1" si="2"/>
        <v>2</v>
      </c>
      <c r="F26" s="12">
        <f t="shared" ca="1" si="3"/>
        <v>662702.67723479064</v>
      </c>
      <c r="G26" s="12">
        <f t="shared" ca="1" si="4"/>
        <v>1520998.9479382304</v>
      </c>
      <c r="H26" s="12">
        <f t="shared" ca="1" si="5"/>
        <v>78.531825997081285</v>
      </c>
      <c r="I26" s="16">
        <f t="shared" ca="1" si="0"/>
        <v>193.02479500000001</v>
      </c>
      <c r="J26" s="12" t="str">
        <f t="shared" ca="1" si="6"/>
        <v>Linear</v>
      </c>
      <c r="K26" s="12" t="str">
        <f t="shared" ca="1" si="7"/>
        <v>Parabola</v>
      </c>
      <c r="P26" s="9"/>
    </row>
    <row r="27" spans="2:16" ht="30" customHeight="1">
      <c r="B27" s="9">
        <v>21</v>
      </c>
      <c r="C27" s="11">
        <v>7600</v>
      </c>
      <c r="D27" s="12">
        <f t="shared" ca="1" si="1"/>
        <v>-0.11</v>
      </c>
      <c r="E27" s="12">
        <f t="shared" ca="1" si="2"/>
        <v>2</v>
      </c>
      <c r="F27" s="12">
        <f t="shared" ca="1" si="3"/>
        <v>662698.16234606015</v>
      </c>
      <c r="G27" s="12">
        <f t="shared" ca="1" si="4"/>
        <v>1520979.4642070746</v>
      </c>
      <c r="H27" s="12">
        <f t="shared" ca="1" si="5"/>
        <v>78.852739784969557</v>
      </c>
      <c r="I27" s="16">
        <f t="shared" ca="1" si="0"/>
        <v>193.02479500000001</v>
      </c>
      <c r="J27" s="12" t="str">
        <f t="shared" ca="1" si="6"/>
        <v>Linear</v>
      </c>
      <c r="K27" s="12" t="str">
        <f t="shared" ca="1" si="7"/>
        <v>Parabola</v>
      </c>
      <c r="P27" s="9"/>
    </row>
    <row r="28" spans="2:16" ht="30" customHeight="1">
      <c r="B28" s="9">
        <v>22</v>
      </c>
      <c r="C28" s="11">
        <v>7620</v>
      </c>
      <c r="D28" s="12">
        <f t="shared" ca="1" si="1"/>
        <v>-0.11</v>
      </c>
      <c r="E28" s="12">
        <f t="shared" ca="1" si="2"/>
        <v>2</v>
      </c>
      <c r="F28" s="12">
        <f t="shared" ca="1" si="3"/>
        <v>662693.64745732967</v>
      </c>
      <c r="G28" s="12">
        <f t="shared" ca="1" si="4"/>
        <v>1520959.9804759186</v>
      </c>
      <c r="H28" s="12">
        <f t="shared" ca="1" si="5"/>
        <v>78.993068179507361</v>
      </c>
      <c r="I28" s="16">
        <f t="shared" ca="1" si="0"/>
        <v>193.02479500000001</v>
      </c>
      <c r="J28" s="12" t="str">
        <f t="shared" ca="1" si="6"/>
        <v>Linear</v>
      </c>
      <c r="K28" s="12" t="str">
        <f t="shared" ca="1" si="7"/>
        <v>Parabola</v>
      </c>
      <c r="P28" s="9"/>
    </row>
    <row r="29" spans="2:16" ht="30" customHeight="1">
      <c r="B29" s="9">
        <v>23</v>
      </c>
      <c r="C29" s="11">
        <v>7640</v>
      </c>
      <c r="D29" s="12">
        <f t="shared" ca="1" si="1"/>
        <v>-0.11</v>
      </c>
      <c r="E29" s="12">
        <f t="shared" ca="1" si="2"/>
        <v>2</v>
      </c>
      <c r="F29" s="12">
        <f t="shared" ca="1" si="3"/>
        <v>662689.13256859919</v>
      </c>
      <c r="G29" s="12">
        <f t="shared" ca="1" si="4"/>
        <v>1520940.4967447629</v>
      </c>
      <c r="H29" s="12">
        <f t="shared" ca="1" si="5"/>
        <v>79</v>
      </c>
      <c r="I29" s="16">
        <f t="shared" ca="1" si="0"/>
        <v>193.02479500000001</v>
      </c>
      <c r="J29" s="12" t="str">
        <f t="shared" ca="1" si="6"/>
        <v>Linear</v>
      </c>
      <c r="K29" s="12" t="str">
        <f t="shared" ca="1" si="7"/>
        <v>Linear</v>
      </c>
      <c r="P29" s="9"/>
    </row>
    <row r="30" spans="2:16" ht="30" customHeight="1">
      <c r="B30" s="9">
        <v>24</v>
      </c>
      <c r="C30" s="11">
        <v>7660</v>
      </c>
      <c r="D30" s="12">
        <f t="shared" ca="1" si="1"/>
        <v>-0.11</v>
      </c>
      <c r="E30" s="12">
        <f t="shared" ca="1" si="2"/>
        <v>2</v>
      </c>
      <c r="F30" s="12">
        <f t="shared" ca="1" si="3"/>
        <v>662684.61767986882</v>
      </c>
      <c r="G30" s="12">
        <f t="shared" ca="1" si="4"/>
        <v>1520921.0130136071</v>
      </c>
      <c r="H30" s="12">
        <f t="shared" ca="1" si="5"/>
        <v>79</v>
      </c>
      <c r="I30" s="16">
        <f t="shared" ca="1" si="0"/>
        <v>193.02479500000001</v>
      </c>
      <c r="J30" s="12" t="str">
        <f t="shared" ca="1" si="6"/>
        <v>Linear</v>
      </c>
      <c r="K30" s="12" t="str">
        <f t="shared" ca="1" si="7"/>
        <v>Linear</v>
      </c>
      <c r="P30" s="9"/>
    </row>
    <row r="31" spans="2:16" ht="30" customHeight="1">
      <c r="B31" s="9">
        <v>25</v>
      </c>
      <c r="C31" s="11">
        <v>7680</v>
      </c>
      <c r="D31" s="12">
        <f t="shared" ca="1" si="1"/>
        <v>-0.11</v>
      </c>
      <c r="E31" s="12">
        <f t="shared" ca="1" si="2"/>
        <v>2</v>
      </c>
      <c r="F31" s="12">
        <f t="shared" ca="1" si="3"/>
        <v>662680.10279113834</v>
      </c>
      <c r="G31" s="12">
        <f t="shared" ca="1" si="4"/>
        <v>1520901.5292824514</v>
      </c>
      <c r="H31" s="12">
        <f t="shared" ca="1" si="5"/>
        <v>79</v>
      </c>
      <c r="I31" s="16">
        <f t="shared" ca="1" si="0"/>
        <v>193.02479500000001</v>
      </c>
      <c r="J31" s="12" t="str">
        <f t="shared" ca="1" si="6"/>
        <v>Linear</v>
      </c>
      <c r="K31" s="12" t="str">
        <f t="shared" ca="1" si="7"/>
        <v>Linear</v>
      </c>
      <c r="P31" s="9"/>
    </row>
    <row r="32" spans="2:16" ht="30" customHeight="1">
      <c r="B32" s="9">
        <v>26</v>
      </c>
      <c r="C32" s="11">
        <v>7700</v>
      </c>
      <c r="D32" s="12">
        <f t="shared" ca="1" si="1"/>
        <v>-0.11</v>
      </c>
      <c r="E32" s="12">
        <f t="shared" ca="1" si="2"/>
        <v>2</v>
      </c>
      <c r="F32" s="12">
        <f t="shared" ca="1" si="3"/>
        <v>662675.57233297033</v>
      </c>
      <c r="G32" s="12">
        <f t="shared" ca="1" si="4"/>
        <v>1520882.0488667418</v>
      </c>
      <c r="H32" s="12">
        <f t="shared" ca="1" si="5"/>
        <v>79.026179968205625</v>
      </c>
      <c r="I32" s="16">
        <f t="shared" ca="1" si="0"/>
        <v>193.120633</v>
      </c>
      <c r="J32" s="12" t="str">
        <f t="shared" ca="1" si="6"/>
        <v>Clothoid</v>
      </c>
      <c r="K32" s="12" t="str">
        <f t="shared" ca="1" si="7"/>
        <v>Parabola</v>
      </c>
      <c r="P32" s="9"/>
    </row>
    <row r="33" spans="2:16" ht="30" customHeight="1">
      <c r="B33" s="9">
        <v>27</v>
      </c>
      <c r="C33" s="11">
        <v>7720</v>
      </c>
      <c r="D33" s="12">
        <f t="shared" ca="1" si="1"/>
        <v>-0.11</v>
      </c>
      <c r="E33" s="12">
        <f t="shared" ca="1" si="2"/>
        <v>2</v>
      </c>
      <c r="F33" s="12">
        <f t="shared" ca="1" si="3"/>
        <v>662670.92793819541</v>
      </c>
      <c r="G33" s="12">
        <f t="shared" ca="1" si="4"/>
        <v>1520862.5947302675</v>
      </c>
      <c r="H33" s="12">
        <f t="shared" ca="1" si="5"/>
        <v>79.114156423704145</v>
      </c>
      <c r="I33" s="16">
        <f t="shared" ca="1" si="0"/>
        <v>193.402289</v>
      </c>
      <c r="J33" s="12" t="str">
        <f t="shared" ca="1" si="6"/>
        <v>Circular</v>
      </c>
      <c r="K33" s="12" t="str">
        <f t="shared" ca="1" si="7"/>
        <v>Parabola</v>
      </c>
      <c r="P33" s="9"/>
    </row>
    <row r="34" spans="2:16" ht="30" customHeight="1">
      <c r="B34" s="9">
        <v>28</v>
      </c>
      <c r="C34" s="11">
        <v>7740</v>
      </c>
      <c r="D34" s="12">
        <f t="shared" ca="1" si="1"/>
        <v>-0.11</v>
      </c>
      <c r="E34" s="12">
        <f t="shared" ca="1" si="2"/>
        <v>2</v>
      </c>
      <c r="F34" s="12">
        <f t="shared" ca="1" si="3"/>
        <v>662666.11566028616</v>
      </c>
      <c r="G34" s="12">
        <f t="shared" ca="1" si="4"/>
        <v>1520843.1813914925</v>
      </c>
      <c r="H34" s="12">
        <f t="shared" ca="1" si="5"/>
        <v>79.2586911411682</v>
      </c>
      <c r="I34" s="16">
        <f t="shared" ca="1" si="0"/>
        <v>194.10164899999998</v>
      </c>
      <c r="J34" s="12" t="str">
        <f t="shared" ca="1" si="6"/>
        <v>Circular</v>
      </c>
      <c r="K34" s="12" t="str">
        <f t="shared" ca="1" si="7"/>
        <v>Linear</v>
      </c>
      <c r="P34" s="9"/>
    </row>
    <row r="35" spans="2:16" ht="30" customHeight="1">
      <c r="B35" s="9">
        <v>29</v>
      </c>
      <c r="C35" s="11">
        <v>7760</v>
      </c>
      <c r="D35" s="12">
        <f t="shared" ca="1" si="1"/>
        <v>-0.11</v>
      </c>
      <c r="E35" s="12">
        <f t="shared" ca="1" si="2"/>
        <v>2</v>
      </c>
      <c r="F35" s="12">
        <f t="shared" ca="1" si="3"/>
        <v>662661.15054510743</v>
      </c>
      <c r="G35" s="12">
        <f t="shared" ca="1" si="4"/>
        <v>1520823.8068565265</v>
      </c>
      <c r="H35" s="12">
        <f t="shared" ca="1" si="5"/>
        <v>79.413691150855698</v>
      </c>
      <c r="I35" s="16">
        <f t="shared" ca="1" si="0"/>
        <v>194.30445600000002</v>
      </c>
      <c r="J35" s="12" t="str">
        <f t="shared" ca="1" si="6"/>
        <v>Clothoid</v>
      </c>
      <c r="K35" s="12" t="str">
        <f t="shared" ca="1" si="7"/>
        <v>Linear</v>
      </c>
      <c r="P35" s="9"/>
    </row>
    <row r="36" spans="2:16" ht="30" customHeight="1">
      <c r="B36" s="9">
        <v>30</v>
      </c>
      <c r="C36" s="11">
        <v>7780</v>
      </c>
      <c r="D36" s="12">
        <f t="shared" ca="1" si="1"/>
        <v>-0.11</v>
      </c>
      <c r="E36" s="12">
        <f t="shared" ca="1" si="2"/>
        <v>2</v>
      </c>
      <c r="F36" s="12">
        <f t="shared" ca="1" si="3"/>
        <v>662656.13098502904</v>
      </c>
      <c r="G36" s="12">
        <f t="shared" ca="1" si="4"/>
        <v>1520804.4469490158</v>
      </c>
      <c r="H36" s="12">
        <f t="shared" ca="1" si="5"/>
        <v>79.568691160543196</v>
      </c>
      <c r="I36" s="16">
        <f t="shared" ca="1" si="0"/>
        <v>194.321866</v>
      </c>
      <c r="J36" s="12" t="str">
        <f t="shared" ca="1" si="6"/>
        <v>Linear</v>
      </c>
      <c r="K36" s="12" t="str">
        <f t="shared" ca="1" si="7"/>
        <v>Linear</v>
      </c>
      <c r="P36" s="9"/>
    </row>
    <row r="37" spans="2:16" ht="30" customHeight="1">
      <c r="B37" s="9">
        <v>31</v>
      </c>
      <c r="C37" s="11">
        <v>7800</v>
      </c>
      <c r="D37" s="12">
        <f t="shared" ca="1" si="1"/>
        <v>-0.11</v>
      </c>
      <c r="E37" s="12">
        <f t="shared" ca="1" si="2"/>
        <v>2</v>
      </c>
      <c r="F37" s="12">
        <f t="shared" ca="1" si="3"/>
        <v>662651.11036780826</v>
      </c>
      <c r="G37" s="12">
        <f t="shared" ca="1" si="4"/>
        <v>1520785.0873673384</v>
      </c>
      <c r="H37" s="12">
        <f t="shared" ca="1" si="5"/>
        <v>79.723691170230694</v>
      </c>
      <c r="I37" s="16">
        <f t="shared" ca="1" si="0"/>
        <v>194.321866</v>
      </c>
      <c r="J37" s="12" t="str">
        <f t="shared" ca="1" si="6"/>
        <v>Linear</v>
      </c>
      <c r="K37" s="12" t="str">
        <f t="shared" ca="1" si="7"/>
        <v>Linear</v>
      </c>
      <c r="P37" s="9"/>
    </row>
    <row r="38" spans="2:16" ht="30" customHeight="1">
      <c r="B38" s="9">
        <v>32</v>
      </c>
      <c r="C38" s="11">
        <v>7820</v>
      </c>
      <c r="D38" s="12">
        <f t="shared" ca="1" si="1"/>
        <v>-0.11</v>
      </c>
      <c r="E38" s="12">
        <f t="shared" ca="1" si="2"/>
        <v>2</v>
      </c>
      <c r="F38" s="12">
        <f t="shared" ca="1" si="3"/>
        <v>662646.09862880129</v>
      </c>
      <c r="G38" s="12">
        <f t="shared" ca="1" si="4"/>
        <v>1520765.7256976056</v>
      </c>
      <c r="H38" s="12">
        <f t="shared" ca="1" si="5"/>
        <v>79.878691179918192</v>
      </c>
      <c r="I38" s="16">
        <f t="shared" ca="1" si="0"/>
        <v>194.255899</v>
      </c>
      <c r="J38" s="12" t="str">
        <f t="shared" ca="1" si="6"/>
        <v>Clothoid</v>
      </c>
      <c r="K38" s="12" t="str">
        <f t="shared" ca="1" si="7"/>
        <v>Linear</v>
      </c>
      <c r="P38" s="9"/>
    </row>
    <row r="39" spans="2:16" ht="30" customHeight="1">
      <c r="B39" s="9">
        <v>33</v>
      </c>
      <c r="C39" s="11">
        <v>7840</v>
      </c>
      <c r="D39" s="12">
        <f t="shared" ca="1" si="1"/>
        <v>-0.11</v>
      </c>
      <c r="E39" s="12">
        <f t="shared" ca="1" si="2"/>
        <v>2</v>
      </c>
      <c r="F39" s="12">
        <f t="shared" ca="1" si="3"/>
        <v>662641.18081930501</v>
      </c>
      <c r="G39" s="12">
        <f t="shared" ca="1" si="4"/>
        <v>1520746.3406446853</v>
      </c>
      <c r="H39" s="12">
        <f t="shared" ca="1" si="5"/>
        <v>80.033691189605705</v>
      </c>
      <c r="I39" s="16">
        <f t="shared" ref="I39:I70" ca="1" si="8">DegtoDMSStr3(Hor(C39,D39,INDIRECT($D$2),"W"))</f>
        <v>194.001677</v>
      </c>
      <c r="J39" s="12" t="str">
        <f t="shared" ca="1" si="6"/>
        <v>Circular</v>
      </c>
      <c r="K39" s="12" t="str">
        <f t="shared" ca="1" si="7"/>
        <v>Linear</v>
      </c>
      <c r="P39" s="9"/>
    </row>
    <row r="40" spans="2:16" ht="30" customHeight="1">
      <c r="B40" s="9">
        <v>34</v>
      </c>
      <c r="C40" s="11">
        <v>7860</v>
      </c>
      <c r="D40" s="12">
        <f t="shared" ca="1" si="1"/>
        <v>-0.11</v>
      </c>
      <c r="E40" s="12">
        <f t="shared" ca="1" si="2"/>
        <v>2</v>
      </c>
      <c r="F40" s="12">
        <f t="shared" ca="1" si="3"/>
        <v>662636.42193149589</v>
      </c>
      <c r="G40" s="12">
        <f t="shared" ca="1" si="4"/>
        <v>1520726.9160724534</v>
      </c>
      <c r="H40" s="12">
        <f t="shared" ca="1" si="5"/>
        <v>80.188691199293203</v>
      </c>
      <c r="I40" s="16">
        <f t="shared" ca="1" si="8"/>
        <v>193.31379000000001</v>
      </c>
      <c r="J40" s="12" t="str">
        <f t="shared" ca="1" si="6"/>
        <v>Circular</v>
      </c>
      <c r="K40" s="12" t="str">
        <f t="shared" ca="1" si="7"/>
        <v>Linear</v>
      </c>
      <c r="P40" s="9"/>
    </row>
    <row r="41" spans="2:16" ht="30" customHeight="1">
      <c r="B41" s="9">
        <v>35</v>
      </c>
      <c r="C41" s="11">
        <v>7880</v>
      </c>
      <c r="D41" s="12">
        <f t="shared" ca="1" si="1"/>
        <v>-0.11</v>
      </c>
      <c r="E41" s="12">
        <f t="shared" ca="1" si="2"/>
        <v>2</v>
      </c>
      <c r="F41" s="12">
        <f t="shared" ca="1" si="3"/>
        <v>662631.82503114792</v>
      </c>
      <c r="G41" s="12">
        <f t="shared" ca="1" si="4"/>
        <v>1520707.4525221232</v>
      </c>
      <c r="H41" s="12">
        <f t="shared" ca="1" si="5"/>
        <v>80.343691208980701</v>
      </c>
      <c r="I41" s="16">
        <f t="shared" ca="1" si="8"/>
        <v>193.03109699999999</v>
      </c>
      <c r="J41" s="12" t="str">
        <f t="shared" ca="1" si="6"/>
        <v>Clothoid</v>
      </c>
      <c r="K41" s="12" t="str">
        <f t="shared" ca="1" si="7"/>
        <v>Linear</v>
      </c>
      <c r="P41" s="9"/>
    </row>
    <row r="42" spans="2:16" ht="30" customHeight="1">
      <c r="B42" s="9">
        <v>36</v>
      </c>
      <c r="C42" s="11">
        <v>7900</v>
      </c>
      <c r="D42" s="12">
        <f t="shared" ca="1" si="1"/>
        <v>-0.11</v>
      </c>
      <c r="E42" s="12">
        <f t="shared" ca="1" si="2"/>
        <v>2</v>
      </c>
      <c r="F42" s="12">
        <f t="shared" ca="1" si="3"/>
        <v>662627.35906312685</v>
      </c>
      <c r="G42" s="12">
        <f t="shared" ca="1" si="4"/>
        <v>1520687.9579996939</v>
      </c>
      <c r="H42" s="12">
        <f t="shared" ca="1" si="5"/>
        <v>80.498691218668199</v>
      </c>
      <c r="I42" s="16">
        <f t="shared" ca="1" si="8"/>
        <v>192.49008600000002</v>
      </c>
      <c r="J42" s="12" t="str">
        <f t="shared" ca="1" si="6"/>
        <v>Clothoid</v>
      </c>
      <c r="K42" s="12" t="str">
        <f t="shared" ca="1" si="7"/>
        <v>Linear</v>
      </c>
      <c r="P42" s="9"/>
    </row>
    <row r="43" spans="2:16" ht="30" customHeight="1">
      <c r="B43" s="9">
        <v>37</v>
      </c>
      <c r="C43" s="11">
        <v>7920</v>
      </c>
      <c r="D43" s="12">
        <f t="shared" ca="1" si="1"/>
        <v>-0.11</v>
      </c>
      <c r="E43" s="12">
        <f t="shared" ca="1" si="2"/>
        <v>2</v>
      </c>
      <c r="F43" s="12">
        <f t="shared" ca="1" si="3"/>
        <v>662622.92321344267</v>
      </c>
      <c r="G43" s="12">
        <f t="shared" ca="1" si="4"/>
        <v>1520668.4561271472</v>
      </c>
      <c r="H43" s="12">
        <f t="shared" ca="1" si="5"/>
        <v>80.653691228355697</v>
      </c>
      <c r="I43" s="16">
        <f t="shared" ca="1" si="8"/>
        <v>192.48512599999998</v>
      </c>
      <c r="J43" s="12" t="str">
        <f t="shared" ca="1" si="6"/>
        <v>Linear</v>
      </c>
      <c r="K43" s="12" t="str">
        <f t="shared" ca="1" si="7"/>
        <v>Linear</v>
      </c>
      <c r="P43" s="9"/>
    </row>
    <row r="44" spans="2:16" ht="30" customHeight="1">
      <c r="B44" s="9">
        <v>38</v>
      </c>
      <c r="C44" s="11">
        <v>7940</v>
      </c>
      <c r="D44" s="12">
        <f t="shared" ca="1" si="1"/>
        <v>-0.11</v>
      </c>
      <c r="E44" s="12">
        <f t="shared" ca="1" si="2"/>
        <v>2</v>
      </c>
      <c r="F44" s="12">
        <f t="shared" ca="1" si="3"/>
        <v>662618.48739530146</v>
      </c>
      <c r="G44" s="12">
        <f t="shared" ca="1" si="4"/>
        <v>1520648.9542421764</v>
      </c>
      <c r="H44" s="12">
        <f t="shared" ca="1" si="5"/>
        <v>80.802801280576858</v>
      </c>
      <c r="I44" s="16">
        <f t="shared" ca="1" si="8"/>
        <v>192.48512599999998</v>
      </c>
      <c r="J44" s="12" t="str">
        <f t="shared" ca="1" si="6"/>
        <v>Linear</v>
      </c>
      <c r="K44" s="12" t="str">
        <f t="shared" ca="1" si="7"/>
        <v>Parabola</v>
      </c>
      <c r="P44" s="9"/>
    </row>
    <row r="45" spans="2:16" ht="30" customHeight="1">
      <c r="B45" s="9">
        <v>39</v>
      </c>
      <c r="C45" s="11">
        <v>7960</v>
      </c>
      <c r="D45" s="12">
        <f t="shared" ca="1" si="1"/>
        <v>-0.11</v>
      </c>
      <c r="E45" s="12">
        <f t="shared" ca="1" si="2"/>
        <v>2</v>
      </c>
      <c r="F45" s="12">
        <f t="shared" ca="1" si="3"/>
        <v>662614.05157716025</v>
      </c>
      <c r="G45" s="12">
        <f t="shared" ca="1" si="4"/>
        <v>1520629.4523572056</v>
      </c>
      <c r="H45" s="12">
        <f t="shared" ca="1" si="5"/>
        <v>80.912818073167188</v>
      </c>
      <c r="I45" s="16">
        <f t="shared" ca="1" si="8"/>
        <v>192.48512599999998</v>
      </c>
      <c r="J45" s="12" t="str">
        <f t="shared" ca="1" si="6"/>
        <v>Linear</v>
      </c>
      <c r="K45" s="12" t="str">
        <f t="shared" ca="1" si="7"/>
        <v>Parabola</v>
      </c>
      <c r="P45" s="9"/>
    </row>
    <row r="46" spans="2:16" ht="30" customHeight="1">
      <c r="B46" s="9">
        <v>40</v>
      </c>
      <c r="C46" s="11">
        <v>7980</v>
      </c>
      <c r="D46" s="12">
        <f t="shared" ca="1" si="1"/>
        <v>-2.5000000000000001E-2</v>
      </c>
      <c r="E46" s="12">
        <f t="shared" ca="1" si="2"/>
        <v>2</v>
      </c>
      <c r="F46" s="12">
        <f t="shared" ca="1" si="3"/>
        <v>662609.26052905899</v>
      </c>
      <c r="G46" s="12">
        <f t="shared" ca="1" si="4"/>
        <v>1520610.0339941937</v>
      </c>
      <c r="H46" s="12">
        <f t="shared" ca="1" si="5"/>
        <v>80.978549148703962</v>
      </c>
      <c r="I46" s="16">
        <f t="shared" ca="1" si="8"/>
        <v>195.23213999999999</v>
      </c>
      <c r="J46" s="12" t="str">
        <f t="shared" ca="1" si="6"/>
        <v>Circular</v>
      </c>
      <c r="K46" s="12" t="str">
        <f t="shared" ca="1" si="7"/>
        <v>Parabola</v>
      </c>
      <c r="P46" s="9"/>
    </row>
    <row r="47" spans="2:16" ht="30" customHeight="1">
      <c r="B47" s="9">
        <v>41</v>
      </c>
      <c r="C47" s="11">
        <v>8000</v>
      </c>
      <c r="D47" s="12">
        <f t="shared" ca="1" si="1"/>
        <v>-2.5000000000000001E-2</v>
      </c>
      <c r="E47" s="12">
        <f t="shared" ca="1" si="2"/>
        <v>2</v>
      </c>
      <c r="F47" s="12">
        <f t="shared" ca="1" si="3"/>
        <v>662603.06371166068</v>
      </c>
      <c r="G47" s="12">
        <f t="shared" ca="1" si="4"/>
        <v>1520591.0233641483</v>
      </c>
      <c r="H47" s="12">
        <f t="shared" ca="1" si="5"/>
        <v>81</v>
      </c>
      <c r="I47" s="16">
        <f t="shared" ca="1" si="8"/>
        <v>200.430882</v>
      </c>
      <c r="J47" s="12" t="str">
        <f t="shared" ca="1" si="6"/>
        <v>Circular</v>
      </c>
      <c r="K47" s="12" t="str">
        <f t="shared" ca="1" si="7"/>
        <v>Linear</v>
      </c>
      <c r="P47" s="9"/>
    </row>
    <row r="48" spans="2:16" ht="30" customHeight="1">
      <c r="B48" s="9">
        <v>42</v>
      </c>
      <c r="C48" s="11">
        <v>8020</v>
      </c>
      <c r="D48" s="12">
        <f t="shared" ca="1" si="1"/>
        <v>-0.11</v>
      </c>
      <c r="E48" s="12">
        <f t="shared" ca="1" si="2"/>
        <v>2</v>
      </c>
      <c r="F48" s="12">
        <f t="shared" ca="1" si="3"/>
        <v>662595.48384890519</v>
      </c>
      <c r="G48" s="12">
        <f t="shared" ca="1" si="4"/>
        <v>1520572.5146792738</v>
      </c>
      <c r="H48" s="12">
        <f t="shared" ca="1" si="5"/>
        <v>81</v>
      </c>
      <c r="I48" s="16">
        <f t="shared" ca="1" si="8"/>
        <v>203.19367800000001</v>
      </c>
      <c r="J48" s="12" t="str">
        <f t="shared" ca="1" si="6"/>
        <v>Clothoid</v>
      </c>
      <c r="K48" s="12" t="str">
        <f t="shared" ca="1" si="7"/>
        <v>Linear</v>
      </c>
      <c r="P48" s="9"/>
    </row>
    <row r="49" spans="2:16" ht="30" customHeight="1">
      <c r="B49" s="9">
        <v>43</v>
      </c>
      <c r="C49" s="11">
        <v>8040</v>
      </c>
      <c r="D49" s="12">
        <f t="shared" ca="1" si="1"/>
        <v>-0.11</v>
      </c>
      <c r="E49" s="12">
        <f t="shared" ca="1" si="2"/>
        <v>2</v>
      </c>
      <c r="F49" s="12">
        <f t="shared" ca="1" si="3"/>
        <v>662587.9401962863</v>
      </c>
      <c r="G49" s="12">
        <f t="shared" ca="1" si="4"/>
        <v>1520554.001718312</v>
      </c>
      <c r="H49" s="12">
        <f t="shared" ca="1" si="5"/>
        <v>81</v>
      </c>
      <c r="I49" s="16">
        <f t="shared" ca="1" si="8"/>
        <v>200.053234</v>
      </c>
      <c r="J49" s="12" t="str">
        <f t="shared" ca="1" si="6"/>
        <v>Circular</v>
      </c>
      <c r="K49" s="12" t="str">
        <f t="shared" ca="1" si="7"/>
        <v>Linear</v>
      </c>
      <c r="P49" s="9"/>
    </row>
    <row r="50" spans="2:16" ht="30" customHeight="1">
      <c r="B50" s="9">
        <v>44</v>
      </c>
      <c r="C50" s="11">
        <v>8060</v>
      </c>
      <c r="D50" s="12">
        <f t="shared" ca="1" si="1"/>
        <v>-0.11</v>
      </c>
      <c r="E50" s="12">
        <f t="shared" ca="1" si="2"/>
        <v>2</v>
      </c>
      <c r="F50" s="12">
        <f t="shared" ca="1" si="3"/>
        <v>662581.95075904904</v>
      </c>
      <c r="G50" s="12">
        <f t="shared" ca="1" si="4"/>
        <v>1520534.9373477479</v>
      </c>
      <c r="H50" s="12">
        <f t="shared" ca="1" si="5"/>
        <v>81</v>
      </c>
      <c r="I50" s="16">
        <f t="shared" ca="1" si="8"/>
        <v>194.56022100000001</v>
      </c>
      <c r="J50" s="12" t="str">
        <f t="shared" ca="1" si="6"/>
        <v>Clothoid</v>
      </c>
      <c r="K50" s="12" t="str">
        <f t="shared" ca="1" si="7"/>
        <v>Linear</v>
      </c>
      <c r="P50" s="9"/>
    </row>
    <row r="51" spans="2:16" ht="30" customHeight="1">
      <c r="B51" s="9">
        <v>45</v>
      </c>
      <c r="C51" s="11">
        <v>8080</v>
      </c>
      <c r="D51" s="12">
        <f t="shared" ca="1" si="1"/>
        <v>-0.11</v>
      </c>
      <c r="E51" s="12">
        <f t="shared" ca="1" si="2"/>
        <v>2</v>
      </c>
      <c r="F51" s="12">
        <f t="shared" ca="1" si="3"/>
        <v>662577.1368934022</v>
      </c>
      <c r="G51" s="12">
        <f t="shared" ca="1" si="4"/>
        <v>1520515.528303996</v>
      </c>
      <c r="H51" s="12">
        <f t="shared" ca="1" si="5"/>
        <v>81</v>
      </c>
      <c r="I51" s="16">
        <f t="shared" ca="1" si="8"/>
        <v>193.38479000000001</v>
      </c>
      <c r="J51" s="12" t="str">
        <f t="shared" ca="1" si="6"/>
        <v>Linear</v>
      </c>
      <c r="K51" s="12" t="str">
        <f t="shared" ca="1" si="7"/>
        <v>Linear</v>
      </c>
      <c r="P51" s="9"/>
    </row>
    <row r="52" spans="2:16" ht="30" customHeight="1">
      <c r="B52" s="9">
        <v>46</v>
      </c>
      <c r="C52" s="11">
        <v>8100</v>
      </c>
      <c r="D52" s="12">
        <f t="shared" ca="1" si="1"/>
        <v>-0.11</v>
      </c>
      <c r="E52" s="12">
        <f t="shared" ca="1" si="2"/>
        <v>2</v>
      </c>
      <c r="F52" s="12">
        <f t="shared" ca="1" si="3"/>
        <v>662572.41822771879</v>
      </c>
      <c r="G52" s="12">
        <f t="shared" ca="1" si="4"/>
        <v>1520496.0929188912</v>
      </c>
      <c r="H52" s="12">
        <f t="shared" ca="1" si="5"/>
        <v>81</v>
      </c>
      <c r="I52" s="16">
        <f t="shared" ca="1" si="8"/>
        <v>193.38479000000001</v>
      </c>
      <c r="J52" s="12" t="str">
        <f t="shared" ca="1" si="6"/>
        <v>Linear</v>
      </c>
      <c r="K52" s="12" t="str">
        <f t="shared" ca="1" si="7"/>
        <v>Linear</v>
      </c>
      <c r="P52" s="9"/>
    </row>
    <row r="53" spans="2:16" ht="30" customHeight="1">
      <c r="B53" s="9">
        <v>47</v>
      </c>
      <c r="C53" s="11">
        <v>8120</v>
      </c>
      <c r="D53" s="12">
        <f t="shared" ca="1" si="1"/>
        <v>-0.11</v>
      </c>
      <c r="E53" s="12">
        <f t="shared" ca="1" si="2"/>
        <v>2</v>
      </c>
      <c r="F53" s="12">
        <f t="shared" ca="1" si="3"/>
        <v>662567.6995620355</v>
      </c>
      <c r="G53" s="12">
        <f t="shared" ca="1" si="4"/>
        <v>1520476.6575337865</v>
      </c>
      <c r="H53" s="12">
        <f t="shared" ca="1" si="5"/>
        <v>81</v>
      </c>
      <c r="I53" s="16">
        <f t="shared" ca="1" si="8"/>
        <v>193.38479000000001</v>
      </c>
      <c r="J53" s="12" t="str">
        <f t="shared" ca="1" si="6"/>
        <v>Linear</v>
      </c>
      <c r="K53" s="12" t="str">
        <f t="shared" ca="1" si="7"/>
        <v>Linear</v>
      </c>
      <c r="P53" s="9"/>
    </row>
    <row r="54" spans="2:16" ht="30" customHeight="1">
      <c r="B54" s="9">
        <v>48</v>
      </c>
      <c r="C54" s="11">
        <v>8140</v>
      </c>
      <c r="D54" s="12">
        <f t="shared" ca="1" si="1"/>
        <v>-0.11</v>
      </c>
      <c r="E54" s="12">
        <f t="shared" ca="1" si="2"/>
        <v>2</v>
      </c>
      <c r="F54" s="12">
        <f t="shared" ca="1" si="3"/>
        <v>662562.98089635209</v>
      </c>
      <c r="G54" s="12">
        <f t="shared" ca="1" si="4"/>
        <v>1520457.2221486818</v>
      </c>
      <c r="H54" s="12">
        <f t="shared" ca="1" si="5"/>
        <v>81</v>
      </c>
      <c r="I54" s="16">
        <f t="shared" ca="1" si="8"/>
        <v>193.38479000000001</v>
      </c>
      <c r="J54" s="12" t="str">
        <f t="shared" ca="1" si="6"/>
        <v>Linear</v>
      </c>
      <c r="K54" s="12" t="str">
        <f t="shared" ca="1" si="7"/>
        <v>Linear</v>
      </c>
      <c r="P54" s="9"/>
    </row>
    <row r="55" spans="2:16" ht="30" customHeight="1">
      <c r="B55" s="9">
        <v>49</v>
      </c>
      <c r="C55" s="11">
        <v>8160</v>
      </c>
      <c r="D55" s="12">
        <f t="shared" ca="1" si="1"/>
        <v>-0.11</v>
      </c>
      <c r="E55" s="12">
        <f t="shared" ca="1" si="2"/>
        <v>2</v>
      </c>
      <c r="F55" s="12">
        <f t="shared" ca="1" si="3"/>
        <v>662558.26223066868</v>
      </c>
      <c r="G55" s="12">
        <f t="shared" ca="1" si="4"/>
        <v>1520437.786763577</v>
      </c>
      <c r="H55" s="12">
        <f t="shared" ca="1" si="5"/>
        <v>81</v>
      </c>
      <c r="I55" s="16">
        <f t="shared" ca="1" si="8"/>
        <v>193.38479000000001</v>
      </c>
      <c r="J55" s="12" t="str">
        <f t="shared" ca="1" si="6"/>
        <v>Linear</v>
      </c>
      <c r="K55" s="12" t="str">
        <f t="shared" ca="1" si="7"/>
        <v>Linear</v>
      </c>
      <c r="P55" s="9"/>
    </row>
    <row r="56" spans="2:16" ht="30" customHeight="1">
      <c r="B56" s="9">
        <v>50</v>
      </c>
      <c r="C56" s="11">
        <v>8180</v>
      </c>
      <c r="D56" s="12">
        <f t="shared" ca="1" si="1"/>
        <v>-0.11</v>
      </c>
      <c r="E56" s="12">
        <f t="shared" ca="1" si="2"/>
        <v>2</v>
      </c>
      <c r="F56" s="12">
        <f t="shared" ca="1" si="3"/>
        <v>662553.54356498539</v>
      </c>
      <c r="G56" s="12">
        <f t="shared" ca="1" si="4"/>
        <v>1520418.3513784723</v>
      </c>
      <c r="H56" s="12">
        <f t="shared" ca="1" si="5"/>
        <v>81</v>
      </c>
      <c r="I56" s="16">
        <f t="shared" ca="1" si="8"/>
        <v>193.38479000000001</v>
      </c>
      <c r="J56" s="12" t="str">
        <f t="shared" ca="1" si="6"/>
        <v>Linear</v>
      </c>
      <c r="K56" s="12" t="str">
        <f t="shared" ca="1" si="7"/>
        <v>Linear</v>
      </c>
      <c r="P56" s="9"/>
    </row>
    <row r="57" spans="2:16" ht="30" customHeight="1">
      <c r="B57" s="9">
        <v>51</v>
      </c>
      <c r="C57" s="11">
        <v>8200</v>
      </c>
      <c r="D57" s="12">
        <f t="shared" ca="1" si="1"/>
        <v>-0.11</v>
      </c>
      <c r="E57" s="12">
        <f t="shared" ca="1" si="2"/>
        <v>2</v>
      </c>
      <c r="F57" s="12">
        <f t="shared" ca="1" si="3"/>
        <v>662548.82489930198</v>
      </c>
      <c r="G57" s="12">
        <f t="shared" ca="1" si="4"/>
        <v>1520398.9159933676</v>
      </c>
      <c r="H57" s="12">
        <f t="shared" ca="1" si="5"/>
        <v>81</v>
      </c>
      <c r="I57" s="16">
        <f t="shared" ca="1" si="8"/>
        <v>193.38479000000001</v>
      </c>
      <c r="J57" s="12" t="str">
        <f t="shared" ca="1" si="6"/>
        <v>Linear</v>
      </c>
      <c r="K57" s="12" t="str">
        <f t="shared" ca="1" si="7"/>
        <v>Linear</v>
      </c>
      <c r="P57" s="9"/>
    </row>
    <row r="58" spans="2:16" ht="30" customHeight="1">
      <c r="B58" s="9">
        <v>52</v>
      </c>
      <c r="C58" s="11">
        <v>8220</v>
      </c>
      <c r="D58" s="12">
        <f t="shared" ca="1" si="1"/>
        <v>-0.11</v>
      </c>
      <c r="E58" s="12">
        <f t="shared" ca="1" si="2"/>
        <v>2</v>
      </c>
      <c r="F58" s="12">
        <f t="shared" ca="1" si="3"/>
        <v>662544.10623361857</v>
      </c>
      <c r="G58" s="12">
        <f t="shared" ca="1" si="4"/>
        <v>1520379.4806082628</v>
      </c>
      <c r="H58" s="12">
        <f t="shared" ca="1" si="5"/>
        <v>81</v>
      </c>
      <c r="I58" s="16">
        <f t="shared" ca="1" si="8"/>
        <v>193.38479000000001</v>
      </c>
      <c r="J58" s="12" t="str">
        <f t="shared" ca="1" si="6"/>
        <v>Linear</v>
      </c>
      <c r="K58" s="12" t="str">
        <f t="shared" ca="1" si="7"/>
        <v>Linear</v>
      </c>
      <c r="P58" s="9"/>
    </row>
    <row r="59" spans="2:16" ht="30" customHeight="1">
      <c r="B59" s="9">
        <v>53</v>
      </c>
      <c r="C59" s="11">
        <v>8240</v>
      </c>
      <c r="D59" s="12">
        <f t="shared" ca="1" si="1"/>
        <v>-0.11</v>
      </c>
      <c r="E59" s="12">
        <f t="shared" ca="1" si="2"/>
        <v>2</v>
      </c>
      <c r="F59" s="12">
        <f t="shared" ca="1" si="3"/>
        <v>662539.38756793528</v>
      </c>
      <c r="G59" s="12">
        <f t="shared" ca="1" si="4"/>
        <v>1520360.0452231581</v>
      </c>
      <c r="H59" s="12">
        <f t="shared" ca="1" si="5"/>
        <v>81</v>
      </c>
      <c r="I59" s="16">
        <f t="shared" ca="1" si="8"/>
        <v>193.38479000000001</v>
      </c>
      <c r="J59" s="12" t="str">
        <f t="shared" ca="1" si="6"/>
        <v>Linear</v>
      </c>
      <c r="K59" s="12" t="str">
        <f t="shared" ca="1" si="7"/>
        <v>Linear</v>
      </c>
      <c r="P59" s="9"/>
    </row>
    <row r="60" spans="2:16" ht="30" customHeight="1">
      <c r="B60" s="9">
        <v>54</v>
      </c>
      <c r="C60" s="11">
        <v>8260</v>
      </c>
      <c r="D60" s="12">
        <f t="shared" ca="1" si="1"/>
        <v>-0.11</v>
      </c>
      <c r="E60" s="12">
        <f t="shared" ca="1" si="2"/>
        <v>2</v>
      </c>
      <c r="F60" s="12">
        <f t="shared" ca="1" si="3"/>
        <v>662534.66890225187</v>
      </c>
      <c r="G60" s="12">
        <f t="shared" ca="1" si="4"/>
        <v>1520340.6098380534</v>
      </c>
      <c r="H60" s="12">
        <f t="shared" ca="1" si="5"/>
        <v>81</v>
      </c>
      <c r="I60" s="16">
        <f t="shared" ca="1" si="8"/>
        <v>193.38479000000001</v>
      </c>
      <c r="J60" s="12" t="str">
        <f t="shared" ca="1" si="6"/>
        <v>Linear</v>
      </c>
      <c r="K60" s="12" t="str">
        <f t="shared" ca="1" si="7"/>
        <v>Linear</v>
      </c>
      <c r="P60" s="9"/>
    </row>
    <row r="61" spans="2:16" ht="30" customHeight="1">
      <c r="B61" s="9">
        <v>55</v>
      </c>
      <c r="C61" s="11">
        <v>8280</v>
      </c>
      <c r="D61" s="12">
        <f t="shared" ca="1" si="1"/>
        <v>-0.11</v>
      </c>
      <c r="E61" s="12">
        <f t="shared" ca="1" si="2"/>
        <v>2</v>
      </c>
      <c r="F61" s="12">
        <f t="shared" ca="1" si="3"/>
        <v>662529.96157251438</v>
      </c>
      <c r="G61" s="12">
        <f t="shared" ca="1" si="4"/>
        <v>1520321.1723493955</v>
      </c>
      <c r="H61" s="12">
        <f t="shared" ca="1" si="5"/>
        <v>81</v>
      </c>
      <c r="I61" s="16">
        <f t="shared" ca="1" si="8"/>
        <v>193.194568</v>
      </c>
      <c r="J61" s="12" t="str">
        <f t="shared" ca="1" si="6"/>
        <v>Circular</v>
      </c>
      <c r="K61" s="12" t="str">
        <f t="shared" ca="1" si="7"/>
        <v>Linear</v>
      </c>
      <c r="P61" s="9"/>
    </row>
    <row r="62" spans="2:16" ht="30" customHeight="1">
      <c r="B62" s="9">
        <v>56</v>
      </c>
      <c r="C62" s="11">
        <v>8300</v>
      </c>
      <c r="D62" s="12">
        <f t="shared" ca="1" si="1"/>
        <v>-0.11</v>
      </c>
      <c r="E62" s="12">
        <f t="shared" ca="1" si="2"/>
        <v>2</v>
      </c>
      <c r="F62" s="12">
        <f t="shared" ca="1" si="3"/>
        <v>662525.61125605321</v>
      </c>
      <c r="G62" s="12">
        <f t="shared" ca="1" si="4"/>
        <v>1520301.6548258392</v>
      </c>
      <c r="H62" s="12">
        <f t="shared" ca="1" si="5"/>
        <v>81</v>
      </c>
      <c r="I62" s="16">
        <f t="shared" ca="1" si="8"/>
        <v>191.48052899999999</v>
      </c>
      <c r="J62" s="12" t="str">
        <f t="shared" ca="1" si="6"/>
        <v>Circular</v>
      </c>
      <c r="K62" s="12" t="str">
        <f t="shared" ca="1" si="7"/>
        <v>Linear</v>
      </c>
      <c r="P62" s="9"/>
    </row>
    <row r="63" spans="2:16" ht="30" customHeight="1">
      <c r="B63" s="9">
        <v>57</v>
      </c>
      <c r="C63" s="11">
        <v>8320</v>
      </c>
      <c r="D63" s="12">
        <f t="shared" ca="1" si="1"/>
        <v>-0.11</v>
      </c>
      <c r="E63" s="12">
        <f t="shared" ca="1" si="2"/>
        <v>2</v>
      </c>
      <c r="F63" s="12">
        <f t="shared" ca="1" si="3"/>
        <v>662521.76495549118</v>
      </c>
      <c r="G63" s="12">
        <f t="shared" ca="1" si="4"/>
        <v>1520282.0308060716</v>
      </c>
      <c r="H63" s="12">
        <f t="shared" ca="1" si="5"/>
        <v>81</v>
      </c>
      <c r="I63" s="16">
        <f t="shared" ca="1" si="8"/>
        <v>190.40182000000001</v>
      </c>
      <c r="J63" s="12" t="str">
        <f t="shared" ca="1" si="6"/>
        <v>Linear</v>
      </c>
      <c r="K63" s="12" t="str">
        <f t="shared" ca="1" si="7"/>
        <v>Linear</v>
      </c>
      <c r="P63" s="9"/>
    </row>
    <row r="64" spans="2:16" ht="30" customHeight="1">
      <c r="B64" s="9">
        <v>58</v>
      </c>
      <c r="C64" s="11">
        <v>8340</v>
      </c>
      <c r="D64" s="12">
        <f t="shared" ca="1" si="1"/>
        <v>-0.11</v>
      </c>
      <c r="E64" s="12">
        <f t="shared" ca="1" si="2"/>
        <v>2</v>
      </c>
      <c r="F64" s="12">
        <f t="shared" ca="1" si="3"/>
        <v>662518.06132083689</v>
      </c>
      <c r="G64" s="12">
        <f t="shared" ca="1" si="4"/>
        <v>1520262.376720228</v>
      </c>
      <c r="H64" s="12">
        <f t="shared" ca="1" si="5"/>
        <v>81</v>
      </c>
      <c r="I64" s="16">
        <f t="shared" ca="1" si="8"/>
        <v>190.40182000000001</v>
      </c>
      <c r="J64" s="12" t="str">
        <f t="shared" ca="1" si="6"/>
        <v>Linear</v>
      </c>
      <c r="K64" s="12" t="str">
        <f t="shared" ca="1" si="7"/>
        <v>Linear</v>
      </c>
      <c r="P64" s="9"/>
    </row>
    <row r="65" spans="2:16" ht="30" customHeight="1">
      <c r="B65" s="9">
        <v>59</v>
      </c>
      <c r="C65" s="11">
        <v>8360</v>
      </c>
      <c r="D65" s="12">
        <f t="shared" ca="1" si="1"/>
        <v>-0.11</v>
      </c>
      <c r="E65" s="12">
        <f t="shared" ca="1" si="2"/>
        <v>2</v>
      </c>
      <c r="F65" s="12">
        <f t="shared" ca="1" si="3"/>
        <v>662514.3576861826</v>
      </c>
      <c r="G65" s="12">
        <f t="shared" ca="1" si="4"/>
        <v>1520242.7226343844</v>
      </c>
      <c r="H65" s="12">
        <f t="shared" ca="1" si="5"/>
        <v>81</v>
      </c>
      <c r="I65" s="16">
        <f t="shared" ca="1" si="8"/>
        <v>190.40182000000001</v>
      </c>
      <c r="J65" s="12" t="str">
        <f t="shared" ca="1" si="6"/>
        <v>Linear</v>
      </c>
      <c r="K65" s="12" t="str">
        <f t="shared" ca="1" si="7"/>
        <v>Linear</v>
      </c>
      <c r="P65" s="9"/>
    </row>
    <row r="66" spans="2:16" ht="30" customHeight="1">
      <c r="B66" s="9">
        <v>60</v>
      </c>
      <c r="C66" s="11">
        <v>8380</v>
      </c>
      <c r="D66" s="12">
        <f t="shared" ca="1" si="1"/>
        <v>-0.11</v>
      </c>
      <c r="E66" s="12">
        <f t="shared" ca="1" si="2"/>
        <v>2</v>
      </c>
      <c r="F66" s="12">
        <f t="shared" ca="1" si="3"/>
        <v>662510.64103061357</v>
      </c>
      <c r="G66" s="12">
        <f t="shared" ca="1" si="4"/>
        <v>1520223.0705728894</v>
      </c>
      <c r="H66" s="12">
        <f t="shared" ca="1" si="5"/>
        <v>80.982658238385611</v>
      </c>
      <c r="I66" s="16">
        <f t="shared" ca="1" si="8"/>
        <v>190.53587999999999</v>
      </c>
      <c r="J66" s="12" t="str">
        <f t="shared" ca="1" si="6"/>
        <v>Clothoid</v>
      </c>
      <c r="K66" s="12" t="str">
        <f t="shared" ca="1" si="7"/>
        <v>Parabola</v>
      </c>
      <c r="P66" s="9"/>
    </row>
    <row r="67" spans="2:16" ht="30" customHeight="1">
      <c r="B67" s="9">
        <v>61</v>
      </c>
      <c r="C67" s="11">
        <v>8400</v>
      </c>
      <c r="D67" s="12">
        <f t="shared" ca="1" si="1"/>
        <v>-0.11</v>
      </c>
      <c r="E67" s="12">
        <f t="shared" ca="1" si="2"/>
        <v>2</v>
      </c>
      <c r="F67" s="12">
        <f t="shared" ca="1" si="3"/>
        <v>662506.60909358156</v>
      </c>
      <c r="G67" s="12">
        <f t="shared" ca="1" si="4"/>
        <v>1520203.4787661987</v>
      </c>
      <c r="H67" s="12">
        <f t="shared" ca="1" si="5"/>
        <v>80.842975720994374</v>
      </c>
      <c r="I67" s="16">
        <f t="shared" ca="1" si="8"/>
        <v>192.30496000000002</v>
      </c>
      <c r="J67" s="12" t="str">
        <f t="shared" ca="1" si="6"/>
        <v>Circular</v>
      </c>
      <c r="K67" s="12" t="str">
        <f t="shared" ca="1" si="7"/>
        <v>Parabola</v>
      </c>
      <c r="P67" s="9"/>
    </row>
    <row r="68" spans="2:16" ht="30" customHeight="1">
      <c r="B68" s="9">
        <v>62</v>
      </c>
      <c r="C68" s="11">
        <v>8420</v>
      </c>
      <c r="D68" s="12">
        <f t="shared" ca="1" si="1"/>
        <v>-0.11</v>
      </c>
      <c r="E68" s="12">
        <f t="shared" ca="1" si="2"/>
        <v>2</v>
      </c>
      <c r="F68" s="12">
        <f t="shared" ca="1" si="3"/>
        <v>662501.96133579686</v>
      </c>
      <c r="G68" s="12">
        <f t="shared" ca="1" si="4"/>
        <v>1520184.0235990922</v>
      </c>
      <c r="H68" s="12">
        <f t="shared" ca="1" si="5"/>
        <v>80.563293587080466</v>
      </c>
      <c r="I68" s="16">
        <f t="shared" ca="1" si="8"/>
        <v>194.19473400000001</v>
      </c>
      <c r="J68" s="12" t="str">
        <f t="shared" ca="1" si="6"/>
        <v>Clothoid</v>
      </c>
      <c r="K68" s="12" t="str">
        <f t="shared" ca="1" si="7"/>
        <v>Parabola</v>
      </c>
      <c r="P68" s="9"/>
    </row>
    <row r="69" spans="2:16" ht="30" customHeight="1">
      <c r="B69" s="9">
        <v>63</v>
      </c>
      <c r="C69" s="11">
        <v>8440</v>
      </c>
      <c r="D69" s="12">
        <f t="shared" ca="1" si="1"/>
        <v>-0.11</v>
      </c>
      <c r="E69" s="12">
        <f t="shared" ca="1" si="2"/>
        <v>2</v>
      </c>
      <c r="F69" s="12">
        <f t="shared" ca="1" si="3"/>
        <v>662496.86046485067</v>
      </c>
      <c r="G69" s="12">
        <f t="shared" ca="1" si="4"/>
        <v>1520164.6838990322</v>
      </c>
      <c r="H69" s="12">
        <f t="shared" ca="1" si="5"/>
        <v>80.143611836643899</v>
      </c>
      <c r="I69" s="16">
        <f t="shared" ca="1" si="8"/>
        <v>194.56279000000001</v>
      </c>
      <c r="J69" s="12" t="str">
        <f t="shared" ca="1" si="6"/>
        <v>Linear</v>
      </c>
      <c r="K69" s="12" t="str">
        <f t="shared" ca="1" si="7"/>
        <v>Parabola</v>
      </c>
      <c r="P69" s="9"/>
    </row>
    <row r="70" spans="2:16" ht="30" customHeight="1">
      <c r="B70" s="9">
        <v>64</v>
      </c>
      <c r="C70" s="11">
        <v>8460</v>
      </c>
      <c r="D70" s="12">
        <f t="shared" ca="1" si="1"/>
        <v>-0.11</v>
      </c>
      <c r="E70" s="12">
        <f t="shared" ca="1" si="2"/>
        <v>2</v>
      </c>
      <c r="F70" s="12">
        <f t="shared" ca="1" si="3"/>
        <v>662491.70395014528</v>
      </c>
      <c r="G70" s="12">
        <f t="shared" ca="1" si="4"/>
        <v>1520145.3600703201</v>
      </c>
      <c r="H70" s="12">
        <f t="shared" ca="1" si="5"/>
        <v>79.58393046968466</v>
      </c>
      <c r="I70" s="16">
        <f t="shared" ca="1" si="8"/>
        <v>194.56279000000001</v>
      </c>
      <c r="J70" s="12" t="str">
        <f t="shared" ca="1" si="6"/>
        <v>Linear</v>
      </c>
      <c r="K70" s="12" t="str">
        <f t="shared" ca="1" si="7"/>
        <v>Parabola</v>
      </c>
      <c r="P70" s="9"/>
    </row>
    <row r="71" spans="2:16" ht="30" customHeight="1">
      <c r="B71" s="9">
        <v>65</v>
      </c>
      <c r="C71" s="11">
        <v>8480</v>
      </c>
      <c r="D71" s="12">
        <f t="shared" ca="1" si="1"/>
        <v>-0.11</v>
      </c>
      <c r="E71" s="12">
        <f t="shared" ca="1" si="2"/>
        <v>2</v>
      </c>
      <c r="F71" s="12">
        <f t="shared" ca="1" si="3"/>
        <v>662486.54743543989</v>
      </c>
      <c r="G71" s="12">
        <f t="shared" ca="1" si="4"/>
        <v>1520126.036241608</v>
      </c>
      <c r="H71" s="12">
        <f t="shared" ca="1" si="5"/>
        <v>78.901591247817151</v>
      </c>
      <c r="I71" s="16">
        <f t="shared" ref="I71:I102" ca="1" si="9">DegtoDMSStr3(Hor(C71,D71,INDIRECT($D$2),"W"))</f>
        <v>194.56279000000001</v>
      </c>
      <c r="J71" s="12" t="str">
        <f t="shared" ca="1" si="6"/>
        <v>Linear</v>
      </c>
      <c r="K71" s="12" t="str">
        <f t="shared" ca="1" si="7"/>
        <v>Linear</v>
      </c>
      <c r="P71" s="9"/>
    </row>
    <row r="72" spans="2:16" ht="30" customHeight="1">
      <c r="B72" s="9">
        <v>66</v>
      </c>
      <c r="C72" s="11">
        <v>8500</v>
      </c>
      <c r="D72" s="12">
        <f t="shared" ref="D72:D135" ca="1" si="10">TunnelOffset(C72,INDIRECT($H$2),"H")</f>
        <v>-0.11</v>
      </c>
      <c r="E72" s="12">
        <f t="shared" ref="E72:E135" ca="1" si="11">TunnelOffset(C72,INDIRECT($H$2),"V")</f>
        <v>2</v>
      </c>
      <c r="F72" s="12">
        <f t="shared" ref="F72:F135" ca="1" si="12">Hor(C72,D72,INDIRECT($D$2),"E")</f>
        <v>662481.3909207345</v>
      </c>
      <c r="G72" s="12">
        <f t="shared" ref="G72:G135" ca="1" si="13">Hor(C72,D72,INDIRECT($D$2),"N")</f>
        <v>1520106.7124128959</v>
      </c>
      <c r="H72" s="12">
        <f t="shared" ref="H72:H135" ca="1" si="14">ver(C72,INDIRECT($F$2))+E72</f>
        <v>78.201593165203832</v>
      </c>
      <c r="I72" s="16">
        <f t="shared" ca="1" si="9"/>
        <v>194.56279000000001</v>
      </c>
      <c r="J72" s="12" t="str">
        <f t="shared" ref="J72:J135" ca="1" si="15">HorType(C72,INDIRECT($D$2))</f>
        <v>Linear</v>
      </c>
      <c r="K72" s="12" t="str">
        <f t="shared" ref="K72:K135" ca="1" si="16">VerType(C72,INDIRECT($F$2))</f>
        <v>Linear</v>
      </c>
      <c r="P72" s="9"/>
    </row>
    <row r="73" spans="2:16" ht="30" customHeight="1">
      <c r="B73" s="9">
        <v>67</v>
      </c>
      <c r="C73" s="11">
        <v>8520</v>
      </c>
      <c r="D73" s="12">
        <f t="shared" ca="1" si="10"/>
        <v>-9.2906900567482006E-2</v>
      </c>
      <c r="E73" s="12">
        <f t="shared" ca="1" si="11"/>
        <v>2</v>
      </c>
      <c r="F73" s="12">
        <f t="shared" ca="1" si="12"/>
        <v>662476.2004882521</v>
      </c>
      <c r="G73" s="12">
        <f t="shared" ca="1" si="13"/>
        <v>1520087.3971910838</v>
      </c>
      <c r="H73" s="12">
        <f t="shared" ca="1" si="14"/>
        <v>77.501595082590512</v>
      </c>
      <c r="I73" s="16">
        <f t="shared" ca="1" si="9"/>
        <v>195.131867</v>
      </c>
      <c r="J73" s="12" t="str">
        <f t="shared" ca="1" si="15"/>
        <v>Clothoid</v>
      </c>
      <c r="K73" s="12" t="str">
        <f t="shared" ca="1" si="16"/>
        <v>Linear</v>
      </c>
      <c r="P73" s="9"/>
    </row>
    <row r="74" spans="2:16" ht="30" customHeight="1">
      <c r="B74" s="9">
        <v>68</v>
      </c>
      <c r="C74" s="11">
        <v>8540</v>
      </c>
      <c r="D74" s="12">
        <f t="shared" ca="1" si="10"/>
        <v>-6.1706900567482001E-2</v>
      </c>
      <c r="E74" s="12">
        <f t="shared" ca="1" si="11"/>
        <v>2</v>
      </c>
      <c r="F74" s="12">
        <f t="shared" ca="1" si="12"/>
        <v>662470.64183535276</v>
      </c>
      <c r="G74" s="12">
        <f t="shared" ca="1" si="13"/>
        <v>1520068.1835203809</v>
      </c>
      <c r="H74" s="12">
        <f t="shared" ca="1" si="14"/>
        <v>76.801596999977207</v>
      </c>
      <c r="I74" s="16">
        <f t="shared" ca="1" si="9"/>
        <v>197.105616</v>
      </c>
      <c r="J74" s="12" t="str">
        <f t="shared" ca="1" si="15"/>
        <v>Clothoid</v>
      </c>
      <c r="K74" s="12" t="str">
        <f t="shared" ca="1" si="16"/>
        <v>Linear</v>
      </c>
      <c r="P74" s="9"/>
    </row>
    <row r="75" spans="2:16" ht="30" customHeight="1">
      <c r="B75" s="9">
        <v>69</v>
      </c>
      <c r="C75" s="11">
        <v>8560</v>
      </c>
      <c r="D75" s="12">
        <f t="shared" ca="1" si="10"/>
        <v>-3.2000000000000001E-2</v>
      </c>
      <c r="E75" s="12">
        <f t="shared" ca="1" si="11"/>
        <v>2</v>
      </c>
      <c r="F75" s="12">
        <f t="shared" ca="1" si="12"/>
        <v>662464.12176823732</v>
      </c>
      <c r="G75" s="12">
        <f t="shared" ca="1" si="13"/>
        <v>1520049.2768548501</v>
      </c>
      <c r="H75" s="12">
        <f t="shared" ca="1" si="14"/>
        <v>76.101598917363887</v>
      </c>
      <c r="I75" s="16">
        <f t="shared" ca="1" si="9"/>
        <v>201.00411199999999</v>
      </c>
      <c r="J75" s="12" t="str">
        <f t="shared" ca="1" si="15"/>
        <v>Circular</v>
      </c>
      <c r="K75" s="12" t="str">
        <f t="shared" ca="1" si="16"/>
        <v>Linear</v>
      </c>
      <c r="P75" s="9"/>
    </row>
    <row r="76" spans="2:16" ht="30" customHeight="1">
      <c r="B76" s="9">
        <v>70</v>
      </c>
      <c r="C76" s="11">
        <v>8580</v>
      </c>
      <c r="D76" s="12">
        <f t="shared" ca="1" si="10"/>
        <v>-3.2000000000000001E-2</v>
      </c>
      <c r="E76" s="12">
        <f t="shared" ca="1" si="11"/>
        <v>2</v>
      </c>
      <c r="F76" s="12">
        <f t="shared" ca="1" si="12"/>
        <v>662456.19598729862</v>
      </c>
      <c r="G76" s="12">
        <f t="shared" ca="1" si="13"/>
        <v>1520030.9175423691</v>
      </c>
      <c r="H76" s="12">
        <f t="shared" ca="1" si="14"/>
        <v>75.401600834750568</v>
      </c>
      <c r="I76" s="16">
        <f t="shared" ca="1" si="9"/>
        <v>205.41190599999999</v>
      </c>
      <c r="J76" s="12" t="str">
        <f t="shared" ca="1" si="15"/>
        <v>Circular</v>
      </c>
      <c r="K76" s="12" t="str">
        <f t="shared" ca="1" si="16"/>
        <v>Linear</v>
      </c>
      <c r="P76" s="9"/>
    </row>
    <row r="77" spans="2:16" ht="30" customHeight="1">
      <c r="B77" s="9">
        <v>71</v>
      </c>
      <c r="C77" s="11">
        <v>8600</v>
      </c>
      <c r="D77" s="12">
        <f t="shared" ca="1" si="10"/>
        <v>-5.4034978036059403E-2</v>
      </c>
      <c r="E77" s="12">
        <f t="shared" ca="1" si="11"/>
        <v>2</v>
      </c>
      <c r="F77" s="12">
        <f t="shared" ca="1" si="12"/>
        <v>662446.85218007443</v>
      </c>
      <c r="G77" s="12">
        <f t="shared" ca="1" si="13"/>
        <v>1520013.2360728988</v>
      </c>
      <c r="H77" s="12">
        <f t="shared" ca="1" si="14"/>
        <v>74.701602752137248</v>
      </c>
      <c r="I77" s="16">
        <f t="shared" ca="1" si="9"/>
        <v>209.535729</v>
      </c>
      <c r="J77" s="12" t="str">
        <f t="shared" ca="1" si="15"/>
        <v>Clothoid</v>
      </c>
      <c r="K77" s="12" t="str">
        <f t="shared" ca="1" si="16"/>
        <v>Linear</v>
      </c>
      <c r="P77" s="9"/>
    </row>
    <row r="78" spans="2:16" ht="30" customHeight="1">
      <c r="B78" s="9">
        <v>72</v>
      </c>
      <c r="C78" s="11">
        <v>8620</v>
      </c>
      <c r="D78" s="12">
        <f t="shared" ca="1" si="10"/>
        <v>-8.5234978036059394E-2</v>
      </c>
      <c r="E78" s="12">
        <f t="shared" ca="1" si="11"/>
        <v>2</v>
      </c>
      <c r="F78" s="12">
        <f t="shared" ca="1" si="12"/>
        <v>662436.49808966776</v>
      </c>
      <c r="G78" s="12">
        <f t="shared" ca="1" si="13"/>
        <v>1519996.1232714616</v>
      </c>
      <c r="H78" s="12">
        <f t="shared" ca="1" si="14"/>
        <v>74.001604669523928</v>
      </c>
      <c r="I78" s="16">
        <f t="shared" ca="1" si="9"/>
        <v>212.191093</v>
      </c>
      <c r="J78" s="12" t="str">
        <f t="shared" ca="1" si="15"/>
        <v>Clothoid</v>
      </c>
      <c r="K78" s="12" t="str">
        <f t="shared" ca="1" si="16"/>
        <v>Linear</v>
      </c>
      <c r="P78" s="9"/>
    </row>
    <row r="79" spans="2:16" ht="30" customHeight="1">
      <c r="B79" s="9">
        <v>73</v>
      </c>
      <c r="C79" s="11">
        <v>8640</v>
      </c>
      <c r="D79" s="12">
        <f t="shared" ca="1" si="10"/>
        <v>-0.11</v>
      </c>
      <c r="E79" s="12">
        <f t="shared" ca="1" si="11"/>
        <v>2</v>
      </c>
      <c r="F79" s="12">
        <f t="shared" ca="1" si="12"/>
        <v>662425.69805494021</v>
      </c>
      <c r="G79" s="12">
        <f t="shared" ca="1" si="13"/>
        <v>1519979.2889652655</v>
      </c>
      <c r="H79" s="12">
        <f t="shared" ca="1" si="14"/>
        <v>73.301606586910609</v>
      </c>
      <c r="I79" s="16">
        <f t="shared" ca="1" si="9"/>
        <v>212.54326499999999</v>
      </c>
      <c r="J79" s="12" t="str">
        <f t="shared" ca="1" si="15"/>
        <v>Linear</v>
      </c>
      <c r="K79" s="12" t="str">
        <f t="shared" ca="1" si="16"/>
        <v>Linear</v>
      </c>
      <c r="P79" s="9"/>
    </row>
    <row r="80" spans="2:16" ht="30" customHeight="1">
      <c r="B80" s="9">
        <v>74</v>
      </c>
      <c r="C80" s="11">
        <v>8660</v>
      </c>
      <c r="D80" s="12">
        <f t="shared" ca="1" si="10"/>
        <v>-0.11</v>
      </c>
      <c r="E80" s="12">
        <f t="shared" ca="1" si="11"/>
        <v>2</v>
      </c>
      <c r="F80" s="12">
        <f t="shared" ca="1" si="12"/>
        <v>662414.83190627198</v>
      </c>
      <c r="G80" s="12">
        <f t="shared" ca="1" si="13"/>
        <v>1519962.4982888908</v>
      </c>
      <c r="H80" s="12">
        <f t="shared" ca="1" si="14"/>
        <v>72.601608504297303</v>
      </c>
      <c r="I80" s="16">
        <f t="shared" ca="1" si="9"/>
        <v>212.54326499999999</v>
      </c>
      <c r="J80" s="12" t="str">
        <f t="shared" ca="1" si="15"/>
        <v>Linear</v>
      </c>
      <c r="K80" s="12" t="str">
        <f t="shared" ca="1" si="16"/>
        <v>Linear</v>
      </c>
      <c r="P80" s="9"/>
    </row>
    <row r="81" spans="2:16" ht="30" customHeight="1">
      <c r="B81" s="9">
        <v>75</v>
      </c>
      <c r="C81" s="11">
        <v>8680</v>
      </c>
      <c r="D81" s="12">
        <f t="shared" ca="1" si="10"/>
        <v>-0.11</v>
      </c>
      <c r="E81" s="12">
        <f t="shared" ca="1" si="11"/>
        <v>2</v>
      </c>
      <c r="F81" s="12">
        <f t="shared" ca="1" si="12"/>
        <v>662403.96575760376</v>
      </c>
      <c r="G81" s="12">
        <f t="shared" ca="1" si="13"/>
        <v>1519945.7076125161</v>
      </c>
      <c r="H81" s="12">
        <f t="shared" ca="1" si="14"/>
        <v>71.901610421683984</v>
      </c>
      <c r="I81" s="16">
        <f t="shared" ca="1" si="9"/>
        <v>212.54326499999999</v>
      </c>
      <c r="J81" s="12" t="str">
        <f t="shared" ca="1" si="15"/>
        <v>Linear</v>
      </c>
      <c r="K81" s="12" t="str">
        <f t="shared" ca="1" si="16"/>
        <v>Linear</v>
      </c>
      <c r="P81" s="9"/>
    </row>
    <row r="82" spans="2:16" ht="30" customHeight="1">
      <c r="B82" s="9">
        <v>76</v>
      </c>
      <c r="C82" s="11">
        <v>8700</v>
      </c>
      <c r="D82" s="12">
        <f t="shared" ca="1" si="10"/>
        <v>-0.11</v>
      </c>
      <c r="E82" s="12">
        <f t="shared" ca="1" si="11"/>
        <v>2</v>
      </c>
      <c r="F82" s="12">
        <f t="shared" ca="1" si="12"/>
        <v>662393.09960893553</v>
      </c>
      <c r="G82" s="12">
        <f t="shared" ca="1" si="13"/>
        <v>1519928.9169361414</v>
      </c>
      <c r="H82" s="12">
        <f t="shared" ca="1" si="14"/>
        <v>71.231963757325573</v>
      </c>
      <c r="I82" s="16">
        <f t="shared" ca="1" si="9"/>
        <v>212.54326499999999</v>
      </c>
      <c r="J82" s="12" t="str">
        <f t="shared" ca="1" si="15"/>
        <v>Linear</v>
      </c>
      <c r="K82" s="12" t="str">
        <f t="shared" ca="1" si="16"/>
        <v>Parabola</v>
      </c>
      <c r="P82" s="9"/>
    </row>
    <row r="83" spans="2:16" ht="30" customHeight="1">
      <c r="B83" s="9">
        <v>77</v>
      </c>
      <c r="C83" s="11">
        <v>8720</v>
      </c>
      <c r="D83" s="12">
        <f t="shared" ca="1" si="10"/>
        <v>-0.11</v>
      </c>
      <c r="E83" s="12">
        <f t="shared" ca="1" si="11"/>
        <v>2</v>
      </c>
      <c r="F83" s="12">
        <f t="shared" ca="1" si="12"/>
        <v>662382.23346026719</v>
      </c>
      <c r="G83" s="12">
        <f t="shared" ca="1" si="13"/>
        <v>1519912.1262597668</v>
      </c>
      <c r="H83" s="12">
        <f t="shared" ca="1" si="14"/>
        <v>70.626354942575333</v>
      </c>
      <c r="I83" s="16">
        <f t="shared" ca="1" si="9"/>
        <v>212.54326499999999</v>
      </c>
      <c r="J83" s="12" t="str">
        <f t="shared" ca="1" si="15"/>
        <v>Linear</v>
      </c>
      <c r="K83" s="12" t="str">
        <f t="shared" ca="1" si="16"/>
        <v>Linear</v>
      </c>
      <c r="P83" s="9"/>
    </row>
    <row r="84" spans="2:16" ht="30" customHeight="1">
      <c r="B84" s="9">
        <v>78</v>
      </c>
      <c r="C84" s="11">
        <v>8740</v>
      </c>
      <c r="D84" s="12">
        <f t="shared" ca="1" si="10"/>
        <v>-0.11</v>
      </c>
      <c r="E84" s="12">
        <f t="shared" ca="1" si="11"/>
        <v>2</v>
      </c>
      <c r="F84" s="12">
        <f t="shared" ca="1" si="12"/>
        <v>662371.36731159897</v>
      </c>
      <c r="G84" s="12">
        <f t="shared" ca="1" si="13"/>
        <v>1519895.3355833921</v>
      </c>
      <c r="H84" s="12">
        <f t="shared" ca="1" si="14"/>
        <v>70.032353160323979</v>
      </c>
      <c r="I84" s="16">
        <f t="shared" ca="1" si="9"/>
        <v>212.54326499999999</v>
      </c>
      <c r="J84" s="12" t="str">
        <f t="shared" ca="1" si="15"/>
        <v>Linear</v>
      </c>
      <c r="K84" s="12" t="str">
        <f t="shared" ca="1" si="16"/>
        <v>Linear</v>
      </c>
      <c r="P84" s="9"/>
    </row>
    <row r="85" spans="2:16" ht="30" customHeight="1">
      <c r="B85" s="9">
        <v>79</v>
      </c>
      <c r="C85" s="11">
        <v>8760</v>
      </c>
      <c r="D85" s="12">
        <f t="shared" ca="1" si="10"/>
        <v>-0.11</v>
      </c>
      <c r="E85" s="12">
        <f t="shared" ca="1" si="11"/>
        <v>2</v>
      </c>
      <c r="F85" s="12">
        <f t="shared" ca="1" si="12"/>
        <v>662360.50116293074</v>
      </c>
      <c r="G85" s="12">
        <f t="shared" ca="1" si="13"/>
        <v>1519878.5449070174</v>
      </c>
      <c r="H85" s="12">
        <f t="shared" ca="1" si="14"/>
        <v>69.438351378072625</v>
      </c>
      <c r="I85" s="16">
        <f t="shared" ca="1" si="9"/>
        <v>212.54326499999999</v>
      </c>
      <c r="J85" s="12" t="str">
        <f t="shared" ca="1" si="15"/>
        <v>Linear</v>
      </c>
      <c r="K85" s="12" t="str">
        <f t="shared" ca="1" si="16"/>
        <v>Linear</v>
      </c>
      <c r="P85" s="9"/>
    </row>
    <row r="86" spans="2:16" ht="30" customHeight="1">
      <c r="B86" s="9">
        <v>80</v>
      </c>
      <c r="C86" s="11">
        <v>8780</v>
      </c>
      <c r="D86" s="12">
        <f t="shared" ca="1" si="10"/>
        <v>-0.11</v>
      </c>
      <c r="E86" s="12">
        <f t="shared" ca="1" si="11"/>
        <v>2</v>
      </c>
      <c r="F86" s="12">
        <f t="shared" ca="1" si="12"/>
        <v>662349.6350142624</v>
      </c>
      <c r="G86" s="12">
        <f t="shared" ca="1" si="13"/>
        <v>1519861.7542306427</v>
      </c>
      <c r="H86" s="12">
        <f t="shared" ca="1" si="14"/>
        <v>68.844349595821271</v>
      </c>
      <c r="I86" s="16">
        <f t="shared" ca="1" si="9"/>
        <v>212.54326499999999</v>
      </c>
      <c r="J86" s="12" t="str">
        <f t="shared" ca="1" si="15"/>
        <v>Linear</v>
      </c>
      <c r="K86" s="12" t="str">
        <f t="shared" ca="1" si="16"/>
        <v>Linear</v>
      </c>
      <c r="P86" s="9"/>
    </row>
    <row r="87" spans="2:16" ht="30" customHeight="1">
      <c r="B87" s="9">
        <v>81</v>
      </c>
      <c r="C87" s="11">
        <v>8800</v>
      </c>
      <c r="D87" s="12">
        <f t="shared" ca="1" si="10"/>
        <v>-0.11</v>
      </c>
      <c r="E87" s="12">
        <f t="shared" ca="1" si="11"/>
        <v>2</v>
      </c>
      <c r="F87" s="12">
        <f t="shared" ca="1" si="12"/>
        <v>662338.76886559417</v>
      </c>
      <c r="G87" s="12">
        <f t="shared" ca="1" si="13"/>
        <v>1519844.963554268</v>
      </c>
      <c r="H87" s="12">
        <f t="shared" ca="1" si="14"/>
        <v>68.250347813569917</v>
      </c>
      <c r="I87" s="16">
        <f t="shared" ca="1" si="9"/>
        <v>212.54326499999999</v>
      </c>
      <c r="J87" s="12" t="str">
        <f t="shared" ca="1" si="15"/>
        <v>Linear</v>
      </c>
      <c r="K87" s="12" t="str">
        <f t="shared" ca="1" si="16"/>
        <v>Linear</v>
      </c>
      <c r="P87" s="9"/>
    </row>
    <row r="88" spans="2:16" ht="30" customHeight="1">
      <c r="B88" s="9">
        <v>82</v>
      </c>
      <c r="C88" s="11">
        <v>8820</v>
      </c>
      <c r="D88" s="12">
        <f t="shared" ca="1" si="10"/>
        <v>-0.11</v>
      </c>
      <c r="E88" s="12">
        <f t="shared" ca="1" si="11"/>
        <v>2</v>
      </c>
      <c r="F88" s="12">
        <f t="shared" ca="1" si="12"/>
        <v>662327.90271692595</v>
      </c>
      <c r="G88" s="12">
        <f t="shared" ca="1" si="13"/>
        <v>1519828.1728778933</v>
      </c>
      <c r="H88" s="12">
        <f t="shared" ca="1" si="14"/>
        <v>67.656346031318577</v>
      </c>
      <c r="I88" s="16">
        <f t="shared" ca="1" si="9"/>
        <v>212.54326499999999</v>
      </c>
      <c r="J88" s="12" t="str">
        <f t="shared" ca="1" si="15"/>
        <v>Linear</v>
      </c>
      <c r="K88" s="12" t="str">
        <f t="shared" ca="1" si="16"/>
        <v>Linear</v>
      </c>
      <c r="P88" s="9"/>
    </row>
    <row r="89" spans="2:16" ht="30" customHeight="1">
      <c r="B89" s="9">
        <v>83</v>
      </c>
      <c r="C89" s="11">
        <v>8840</v>
      </c>
      <c r="D89" s="12">
        <f t="shared" ca="1" si="10"/>
        <v>-0.11</v>
      </c>
      <c r="E89" s="12">
        <f t="shared" ca="1" si="11"/>
        <v>2</v>
      </c>
      <c r="F89" s="12">
        <f t="shared" ca="1" si="12"/>
        <v>662317.03656825772</v>
      </c>
      <c r="G89" s="12">
        <f t="shared" ca="1" si="13"/>
        <v>1519811.3822015186</v>
      </c>
      <c r="H89" s="12">
        <f t="shared" ca="1" si="14"/>
        <v>67.062344249067223</v>
      </c>
      <c r="I89" s="16">
        <f t="shared" ca="1" si="9"/>
        <v>212.54326499999999</v>
      </c>
      <c r="J89" s="12" t="str">
        <f t="shared" ca="1" si="15"/>
        <v>Linear</v>
      </c>
      <c r="K89" s="12" t="str">
        <f t="shared" ca="1" si="16"/>
        <v>Linear</v>
      </c>
      <c r="P89" s="9"/>
    </row>
    <row r="90" spans="2:16" ht="30" customHeight="1">
      <c r="B90" s="9">
        <v>84</v>
      </c>
      <c r="C90" s="11">
        <v>8860</v>
      </c>
      <c r="D90" s="12">
        <f t="shared" ca="1" si="10"/>
        <v>-0.11</v>
      </c>
      <c r="E90" s="12">
        <f t="shared" ca="1" si="11"/>
        <v>2</v>
      </c>
      <c r="F90" s="12">
        <f t="shared" ca="1" si="12"/>
        <v>662306.17041958938</v>
      </c>
      <c r="G90" s="12">
        <f t="shared" ca="1" si="13"/>
        <v>1519794.5915251439</v>
      </c>
      <c r="H90" s="12">
        <f t="shared" ca="1" si="14"/>
        <v>66.468342466815869</v>
      </c>
      <c r="I90" s="16">
        <f t="shared" ca="1" si="9"/>
        <v>212.54326499999999</v>
      </c>
      <c r="J90" s="12" t="str">
        <f t="shared" ca="1" si="15"/>
        <v>Linear</v>
      </c>
      <c r="K90" s="12" t="str">
        <f t="shared" ca="1" si="16"/>
        <v>Linear</v>
      </c>
      <c r="P90" s="9"/>
    </row>
    <row r="91" spans="2:16" ht="30" customHeight="1">
      <c r="B91" s="9">
        <v>85</v>
      </c>
      <c r="C91" s="11">
        <v>8880</v>
      </c>
      <c r="D91" s="12">
        <f t="shared" ca="1" si="10"/>
        <v>-0.11</v>
      </c>
      <c r="E91" s="12">
        <f t="shared" ca="1" si="11"/>
        <v>2</v>
      </c>
      <c r="F91" s="12">
        <f t="shared" ca="1" si="12"/>
        <v>662295.30427092116</v>
      </c>
      <c r="G91" s="12">
        <f t="shared" ca="1" si="13"/>
        <v>1519777.8008487693</v>
      </c>
      <c r="H91" s="12">
        <f t="shared" ca="1" si="14"/>
        <v>65.874340684564515</v>
      </c>
      <c r="I91" s="16">
        <f t="shared" ca="1" si="9"/>
        <v>212.54326499999999</v>
      </c>
      <c r="J91" s="12" t="str">
        <f t="shared" ca="1" si="15"/>
        <v>Linear</v>
      </c>
      <c r="K91" s="12" t="str">
        <f t="shared" ca="1" si="16"/>
        <v>Linear</v>
      </c>
      <c r="P91" s="9"/>
    </row>
    <row r="92" spans="2:16" ht="30" customHeight="1">
      <c r="B92" s="9">
        <v>86</v>
      </c>
      <c r="C92" s="11">
        <v>8900</v>
      </c>
      <c r="D92" s="12">
        <f t="shared" ca="1" si="10"/>
        <v>-0.11</v>
      </c>
      <c r="E92" s="12">
        <f t="shared" ca="1" si="11"/>
        <v>2</v>
      </c>
      <c r="F92" s="12">
        <f t="shared" ca="1" si="12"/>
        <v>662284.43812225293</v>
      </c>
      <c r="G92" s="12">
        <f t="shared" ca="1" si="13"/>
        <v>1519761.0101723946</v>
      </c>
      <c r="H92" s="12">
        <f t="shared" ca="1" si="14"/>
        <v>65.280338902313161</v>
      </c>
      <c r="I92" s="16">
        <f t="shared" ca="1" si="9"/>
        <v>212.54326499999999</v>
      </c>
      <c r="J92" s="12" t="str">
        <f t="shared" ca="1" si="15"/>
        <v>Linear</v>
      </c>
      <c r="K92" s="12" t="str">
        <f t="shared" ca="1" si="16"/>
        <v>Linear</v>
      </c>
      <c r="P92" s="9"/>
    </row>
    <row r="93" spans="2:16" ht="30" customHeight="1">
      <c r="B93" s="9">
        <v>87</v>
      </c>
      <c r="C93" s="11">
        <v>8920</v>
      </c>
      <c r="D93" s="12">
        <f t="shared" ca="1" si="10"/>
        <v>-0.11</v>
      </c>
      <c r="E93" s="12">
        <f t="shared" ca="1" si="11"/>
        <v>2</v>
      </c>
      <c r="F93" s="12">
        <f t="shared" ca="1" si="12"/>
        <v>662273.57197358471</v>
      </c>
      <c r="G93" s="12">
        <f t="shared" ca="1" si="13"/>
        <v>1519744.2194960199</v>
      </c>
      <c r="H93" s="12">
        <f t="shared" ca="1" si="14"/>
        <v>64.686337120061808</v>
      </c>
      <c r="I93" s="16">
        <f t="shared" ca="1" si="9"/>
        <v>212.54326499999999</v>
      </c>
      <c r="J93" s="12" t="str">
        <f t="shared" ca="1" si="15"/>
        <v>Linear</v>
      </c>
      <c r="K93" s="12" t="str">
        <f t="shared" ca="1" si="16"/>
        <v>Linear</v>
      </c>
      <c r="P93" s="9"/>
    </row>
    <row r="94" spans="2:16" ht="30" customHeight="1">
      <c r="B94" s="9">
        <v>88</v>
      </c>
      <c r="C94" s="11">
        <v>8940</v>
      </c>
      <c r="D94" s="12">
        <f t="shared" ca="1" si="10"/>
        <v>-0.11</v>
      </c>
      <c r="E94" s="12">
        <f t="shared" ca="1" si="11"/>
        <v>2</v>
      </c>
      <c r="F94" s="12">
        <f t="shared" ca="1" si="12"/>
        <v>662262.70582491637</v>
      </c>
      <c r="G94" s="12">
        <f t="shared" ca="1" si="13"/>
        <v>1519727.4288196452</v>
      </c>
      <c r="H94" s="12">
        <f t="shared" ca="1" si="14"/>
        <v>64.092335337810454</v>
      </c>
      <c r="I94" s="16">
        <f t="shared" ca="1" si="9"/>
        <v>212.54326499999999</v>
      </c>
      <c r="J94" s="12" t="str">
        <f t="shared" ca="1" si="15"/>
        <v>Linear</v>
      </c>
      <c r="K94" s="12" t="str">
        <f t="shared" ca="1" si="16"/>
        <v>Linear</v>
      </c>
      <c r="P94" s="9"/>
    </row>
    <row r="95" spans="2:16" ht="30" customHeight="1">
      <c r="B95" s="9">
        <v>89</v>
      </c>
      <c r="C95" s="11">
        <v>8960</v>
      </c>
      <c r="D95" s="12">
        <f t="shared" ca="1" si="10"/>
        <v>-0.11</v>
      </c>
      <c r="E95" s="12">
        <f t="shared" ca="1" si="11"/>
        <v>2</v>
      </c>
      <c r="F95" s="12">
        <f t="shared" ca="1" si="12"/>
        <v>662251.83967624814</v>
      </c>
      <c r="G95" s="12">
        <f t="shared" ca="1" si="13"/>
        <v>1519710.6381432705</v>
      </c>
      <c r="H95" s="12">
        <f t="shared" ca="1" si="14"/>
        <v>63.542224192225461</v>
      </c>
      <c r="I95" s="16">
        <f t="shared" ca="1" si="9"/>
        <v>212.54326499999999</v>
      </c>
      <c r="J95" s="12" t="str">
        <f t="shared" ca="1" si="15"/>
        <v>Linear</v>
      </c>
      <c r="K95" s="12" t="str">
        <f t="shared" ca="1" si="16"/>
        <v>Parabola</v>
      </c>
      <c r="P95" s="9"/>
    </row>
    <row r="96" spans="2:16" ht="30" customHeight="1">
      <c r="B96" s="9">
        <v>90</v>
      </c>
      <c r="C96" s="11">
        <v>8980</v>
      </c>
      <c r="D96" s="12">
        <f t="shared" ca="1" si="10"/>
        <v>-0.1539746175458413</v>
      </c>
      <c r="E96" s="12">
        <f t="shared" ca="1" si="11"/>
        <v>2</v>
      </c>
      <c r="F96" s="12">
        <f t="shared" ca="1" si="12"/>
        <v>662241.03113977402</v>
      </c>
      <c r="G96" s="12">
        <f t="shared" ca="1" si="13"/>
        <v>1519693.811361498</v>
      </c>
      <c r="H96" s="12">
        <f t="shared" ca="1" si="14"/>
        <v>63.083479814263875</v>
      </c>
      <c r="I96" s="16">
        <f t="shared" ca="1" si="9"/>
        <v>212.33264000000003</v>
      </c>
      <c r="J96" s="12" t="str">
        <f t="shared" ca="1" si="15"/>
        <v>Clothoid</v>
      </c>
      <c r="K96" s="12" t="str">
        <f t="shared" ca="1" si="16"/>
        <v>Parabola</v>
      </c>
      <c r="P96" s="9"/>
    </row>
    <row r="97" spans="2:16" ht="30" customHeight="1">
      <c r="B97" s="9">
        <v>91</v>
      </c>
      <c r="C97" s="11">
        <v>9000</v>
      </c>
      <c r="D97" s="12">
        <f t="shared" ca="1" si="10"/>
        <v>-0.22897461754584131</v>
      </c>
      <c r="E97" s="12">
        <f t="shared" ca="1" si="11"/>
        <v>2</v>
      </c>
      <c r="F97" s="12">
        <f t="shared" ca="1" si="12"/>
        <v>662230.61506055866</v>
      </c>
      <c r="G97" s="12">
        <f t="shared" ca="1" si="13"/>
        <v>1519676.7481245729</v>
      </c>
      <c r="H97" s="12">
        <f t="shared" ca="1" si="14"/>
        <v>62.716120325879416</v>
      </c>
      <c r="I97" s="16">
        <f t="shared" ca="1" si="9"/>
        <v>210.20038599999998</v>
      </c>
      <c r="J97" s="12" t="str">
        <f t="shared" ca="1" si="15"/>
        <v>Clothoid</v>
      </c>
      <c r="K97" s="12" t="str">
        <f t="shared" ca="1" si="16"/>
        <v>Parabola</v>
      </c>
      <c r="P97" s="9"/>
    </row>
    <row r="98" spans="2:16" ht="30" customHeight="1">
      <c r="B98" s="9">
        <v>92</v>
      </c>
      <c r="C98" s="11">
        <v>9020</v>
      </c>
      <c r="D98" s="12">
        <f t="shared" ca="1" si="10"/>
        <v>-0.26</v>
      </c>
      <c r="E98" s="12">
        <f t="shared" ca="1" si="11"/>
        <v>2</v>
      </c>
      <c r="F98" s="12">
        <f t="shared" ca="1" si="12"/>
        <v>662221.12772220164</v>
      </c>
      <c r="G98" s="12">
        <f t="shared" ca="1" si="13"/>
        <v>1519659.165144929</v>
      </c>
      <c r="H98" s="12">
        <f t="shared" ca="1" si="14"/>
        <v>62.440145727072093</v>
      </c>
      <c r="I98" s="16">
        <f t="shared" ca="1" si="9"/>
        <v>206.25009600000001</v>
      </c>
      <c r="J98" s="12" t="str">
        <f t="shared" ca="1" si="15"/>
        <v>Circular</v>
      </c>
      <c r="K98" s="12" t="str">
        <f t="shared" ca="1" si="16"/>
        <v>Parabola</v>
      </c>
      <c r="P98" s="9"/>
    </row>
    <row r="99" spans="2:16" ht="30" customHeight="1">
      <c r="B99" s="9">
        <v>93</v>
      </c>
      <c r="C99" s="11">
        <v>9040</v>
      </c>
      <c r="D99" s="12">
        <f t="shared" ca="1" si="10"/>
        <v>-0.26</v>
      </c>
      <c r="E99" s="12">
        <f t="shared" ca="1" si="11"/>
        <v>2</v>
      </c>
      <c r="F99" s="12">
        <f t="shared" ca="1" si="12"/>
        <v>662212.88437719492</v>
      </c>
      <c r="G99" s="12">
        <f t="shared" ca="1" si="13"/>
        <v>1519640.9680290206</v>
      </c>
      <c r="H99" s="12">
        <f t="shared" ca="1" si="14"/>
        <v>62.255556017841904</v>
      </c>
      <c r="I99" s="16">
        <f t="shared" ca="1" si="9"/>
        <v>202.19277600000001</v>
      </c>
      <c r="J99" s="12" t="str">
        <f t="shared" ca="1" si="15"/>
        <v>Circular</v>
      </c>
      <c r="K99" s="12" t="str">
        <f t="shared" ca="1" si="16"/>
        <v>Parabola</v>
      </c>
      <c r="P99" s="9"/>
    </row>
    <row r="100" spans="2:16" ht="30" customHeight="1">
      <c r="B100" s="9">
        <v>94</v>
      </c>
      <c r="C100" s="11">
        <v>9060</v>
      </c>
      <c r="D100" s="12">
        <f t="shared" ca="1" si="10"/>
        <v>-0.26</v>
      </c>
      <c r="E100" s="12">
        <f t="shared" ca="1" si="11"/>
        <v>2</v>
      </c>
      <c r="F100" s="12">
        <f t="shared" ca="1" si="12"/>
        <v>662205.96074119851</v>
      </c>
      <c r="G100" s="12">
        <f t="shared" ca="1" si="13"/>
        <v>1519622.2290047961</v>
      </c>
      <c r="H100" s="12">
        <f t="shared" ca="1" si="14"/>
        <v>62.162351198188837</v>
      </c>
      <c r="I100" s="16">
        <f t="shared" ca="1" si="9"/>
        <v>198.135456</v>
      </c>
      <c r="J100" s="12" t="str">
        <f t="shared" ca="1" si="15"/>
        <v>Circular</v>
      </c>
      <c r="K100" s="12" t="str">
        <f t="shared" ca="1" si="16"/>
        <v>Parabola</v>
      </c>
      <c r="P100" s="9"/>
    </row>
    <row r="101" spans="2:16" ht="30" customHeight="1">
      <c r="B101" s="9">
        <v>95</v>
      </c>
      <c r="C101" s="11">
        <v>9080</v>
      </c>
      <c r="D101" s="12">
        <f t="shared" ca="1" si="10"/>
        <v>-0.21068709826184887</v>
      </c>
      <c r="E101" s="12">
        <f t="shared" ca="1" si="11"/>
        <v>2</v>
      </c>
      <c r="F101" s="12">
        <f t="shared" ca="1" si="12"/>
        <v>662200.3112132817</v>
      </c>
      <c r="G101" s="12">
        <f t="shared" ca="1" si="13"/>
        <v>1519603.0628331536</v>
      </c>
      <c r="H101" s="12">
        <f t="shared" ca="1" si="14"/>
        <v>62.15</v>
      </c>
      <c r="I101" s="16">
        <f t="shared" ca="1" si="9"/>
        <v>194.34536900000001</v>
      </c>
      <c r="J101" s="12" t="str">
        <f t="shared" ca="1" si="15"/>
        <v>Clothoid</v>
      </c>
      <c r="K101" s="12" t="str">
        <f t="shared" ca="1" si="16"/>
        <v>Linear</v>
      </c>
      <c r="P101" s="9"/>
    </row>
    <row r="102" spans="2:16" ht="30" customHeight="1">
      <c r="B102" s="9">
        <v>96</v>
      </c>
      <c r="C102" s="11">
        <v>9100</v>
      </c>
      <c r="D102" s="12">
        <f t="shared" ca="1" si="10"/>
        <v>-0.13568709826184885</v>
      </c>
      <c r="E102" s="12">
        <f t="shared" ca="1" si="11"/>
        <v>2</v>
      </c>
      <c r="F102" s="12">
        <f t="shared" ca="1" si="12"/>
        <v>662195.55421806232</v>
      </c>
      <c r="G102" s="12">
        <f t="shared" ca="1" si="13"/>
        <v>1519583.643038898</v>
      </c>
      <c r="H102" s="12">
        <f t="shared" ca="1" si="14"/>
        <v>62.15</v>
      </c>
      <c r="I102" s="16">
        <f t="shared" ca="1" si="9"/>
        <v>192.51273699999999</v>
      </c>
      <c r="J102" s="12" t="str">
        <f t="shared" ca="1" si="15"/>
        <v>Clothoid</v>
      </c>
      <c r="K102" s="12" t="str">
        <f t="shared" ca="1" si="16"/>
        <v>Linear</v>
      </c>
      <c r="P102" s="9"/>
    </row>
    <row r="103" spans="2:16" ht="30" customHeight="1">
      <c r="B103" s="9">
        <v>97</v>
      </c>
      <c r="C103" s="11">
        <v>9120</v>
      </c>
      <c r="D103" s="12">
        <f t="shared" ca="1" si="10"/>
        <v>-0.11</v>
      </c>
      <c r="E103" s="12">
        <f t="shared" ca="1" si="11"/>
        <v>2</v>
      </c>
      <c r="F103" s="12">
        <f t="shared" ca="1" si="12"/>
        <v>662191.11484245444</v>
      </c>
      <c r="G103" s="12">
        <f t="shared" ca="1" si="13"/>
        <v>1519564.1422340872</v>
      </c>
      <c r="H103" s="12">
        <f t="shared" ca="1" si="14"/>
        <v>62.15</v>
      </c>
      <c r="I103" s="16">
        <f t="shared" ref="I103:I134" ca="1" si="17">DegtoDMSStr3(Hor(C103,D103,INDIRECT($D$2),"W"))</f>
        <v>192.441531</v>
      </c>
      <c r="J103" s="12" t="str">
        <f t="shared" ca="1" si="15"/>
        <v>Linear</v>
      </c>
      <c r="K103" s="12" t="str">
        <f t="shared" ca="1" si="16"/>
        <v>Linear</v>
      </c>
      <c r="P103" s="9"/>
    </row>
    <row r="104" spans="2:16" ht="30" customHeight="1">
      <c r="B104" s="9">
        <v>98</v>
      </c>
      <c r="C104" s="11">
        <v>9140</v>
      </c>
      <c r="D104" s="12">
        <f t="shared" ca="1" si="10"/>
        <v>-9.447359444321482E-2</v>
      </c>
      <c r="E104" s="12">
        <f t="shared" ca="1" si="11"/>
        <v>2</v>
      </c>
      <c r="F104" s="12">
        <f t="shared" ca="1" si="12"/>
        <v>662186.68258431542</v>
      </c>
      <c r="G104" s="12">
        <f t="shared" ca="1" si="13"/>
        <v>1519544.6392584401</v>
      </c>
      <c r="H104" s="12">
        <f t="shared" ca="1" si="14"/>
        <v>62.152949233038001</v>
      </c>
      <c r="I104" s="16">
        <f t="shared" ca="1" si="17"/>
        <v>192.535909</v>
      </c>
      <c r="J104" s="12" t="str">
        <f t="shared" ca="1" si="15"/>
        <v>Clothoid</v>
      </c>
      <c r="K104" s="12" t="str">
        <f t="shared" ca="1" si="16"/>
        <v>Parabola</v>
      </c>
      <c r="P104" s="9"/>
    </row>
    <row r="105" spans="2:16" ht="30" customHeight="1">
      <c r="B105" s="9">
        <v>99</v>
      </c>
      <c r="C105" s="11">
        <v>9160</v>
      </c>
      <c r="D105" s="12">
        <f t="shared" ca="1" si="10"/>
        <v>-5.5473594443214827E-2</v>
      </c>
      <c r="E105" s="12">
        <f t="shared" ca="1" si="11"/>
        <v>2</v>
      </c>
      <c r="F105" s="12">
        <f t="shared" ca="1" si="12"/>
        <v>662181.92518272309</v>
      </c>
      <c r="G105" s="12">
        <f t="shared" ca="1" si="13"/>
        <v>1519525.2118243247</v>
      </c>
      <c r="H105" s="12">
        <f t="shared" ca="1" si="14"/>
        <v>62.174441415825683</v>
      </c>
      <c r="I105" s="16">
        <f t="shared" ca="1" si="17"/>
        <v>194.44151299999999</v>
      </c>
      <c r="J105" s="12" t="str">
        <f t="shared" ca="1" si="15"/>
        <v>Clothoid</v>
      </c>
      <c r="K105" s="12" t="str">
        <f t="shared" ca="1" si="16"/>
        <v>Parabola</v>
      </c>
      <c r="P105" s="9"/>
    </row>
    <row r="106" spans="2:16" ht="30" customHeight="1">
      <c r="B106" s="9">
        <v>100</v>
      </c>
      <c r="C106" s="11">
        <v>9180</v>
      </c>
      <c r="D106" s="12">
        <f t="shared" ca="1" si="10"/>
        <v>-3.2000000000000001E-2</v>
      </c>
      <c r="E106" s="12">
        <f t="shared" ca="1" si="11"/>
        <v>2</v>
      </c>
      <c r="F106" s="12">
        <f t="shared" ca="1" si="12"/>
        <v>662176.2267931262</v>
      </c>
      <c r="G106" s="12">
        <f t="shared" ca="1" si="13"/>
        <v>1519506.0416592765</v>
      </c>
      <c r="H106" s="12">
        <f t="shared" ca="1" si="14"/>
        <v>62.216743277617397</v>
      </c>
      <c r="I106" s="16">
        <f t="shared" ca="1" si="17"/>
        <v>198.27339900000001</v>
      </c>
      <c r="J106" s="12" t="str">
        <f t="shared" ca="1" si="15"/>
        <v>Circular</v>
      </c>
      <c r="K106" s="12" t="str">
        <f t="shared" ca="1" si="16"/>
        <v>Linear</v>
      </c>
      <c r="P106" s="9"/>
    </row>
    <row r="107" spans="2:16" ht="30" customHeight="1">
      <c r="B107" s="9">
        <v>101</v>
      </c>
      <c r="C107" s="11">
        <v>9200</v>
      </c>
      <c r="D107" s="12">
        <f t="shared" ca="1" si="10"/>
        <v>-3.2000000000000001E-2</v>
      </c>
      <c r="E107" s="12">
        <f t="shared" ca="1" si="11"/>
        <v>2</v>
      </c>
      <c r="F107" s="12">
        <f t="shared" ca="1" si="12"/>
        <v>662169.22146232857</v>
      </c>
      <c r="G107" s="12">
        <f t="shared" ca="1" si="13"/>
        <v>1519487.3107571029</v>
      </c>
      <c r="H107" s="12">
        <f t="shared" ca="1" si="14"/>
        <v>62.268794560210168</v>
      </c>
      <c r="I107" s="16">
        <f t="shared" ca="1" si="17"/>
        <v>202.33071900000002</v>
      </c>
      <c r="J107" s="12" t="str">
        <f t="shared" ca="1" si="15"/>
        <v>Circular</v>
      </c>
      <c r="K107" s="12" t="str">
        <f t="shared" ca="1" si="16"/>
        <v>Linear</v>
      </c>
      <c r="P107" s="9"/>
    </row>
    <row r="108" spans="2:16" ht="30" customHeight="1">
      <c r="B108" s="9">
        <v>102</v>
      </c>
      <c r="C108" s="11">
        <v>9220</v>
      </c>
      <c r="D108" s="12">
        <f t="shared" ca="1" si="10"/>
        <v>-3.2000000000000001E-2</v>
      </c>
      <c r="E108" s="12">
        <f t="shared" ca="1" si="11"/>
        <v>2</v>
      </c>
      <c r="F108" s="12">
        <f t="shared" ca="1" si="12"/>
        <v>662160.89721049019</v>
      </c>
      <c r="G108" s="12">
        <f t="shared" ca="1" si="13"/>
        <v>1519469.1275729167</v>
      </c>
      <c r="H108" s="12">
        <f t="shared" ca="1" si="14"/>
        <v>62.320845842802932</v>
      </c>
      <c r="I108" s="16">
        <f t="shared" ca="1" si="17"/>
        <v>206.384039</v>
      </c>
      <c r="J108" s="12" t="str">
        <f t="shared" ca="1" si="15"/>
        <v>Circular</v>
      </c>
      <c r="K108" s="12" t="str">
        <f t="shared" ca="1" si="16"/>
        <v>Linear</v>
      </c>
      <c r="P108" s="9"/>
    </row>
    <row r="109" spans="2:16" ht="30" customHeight="1">
      <c r="B109" s="9">
        <v>103</v>
      </c>
      <c r="C109" s="11">
        <v>9240</v>
      </c>
      <c r="D109" s="12">
        <f t="shared" ca="1" si="10"/>
        <v>-3.2000000000000001E-2</v>
      </c>
      <c r="E109" s="12">
        <f t="shared" ca="1" si="11"/>
        <v>2</v>
      </c>
      <c r="F109" s="12">
        <f t="shared" ca="1" si="12"/>
        <v>662151.29649022978</v>
      </c>
      <c r="G109" s="12">
        <f t="shared" ca="1" si="13"/>
        <v>1519451.5848386285</v>
      </c>
      <c r="H109" s="12">
        <f t="shared" ca="1" si="14"/>
        <v>62.372897125395696</v>
      </c>
      <c r="I109" s="16">
        <f t="shared" ca="1" si="17"/>
        <v>210.44135900000001</v>
      </c>
      <c r="J109" s="12" t="str">
        <f t="shared" ca="1" si="15"/>
        <v>Circular</v>
      </c>
      <c r="K109" s="12" t="str">
        <f t="shared" ca="1" si="16"/>
        <v>Linear</v>
      </c>
      <c r="P109" s="9"/>
    </row>
    <row r="110" spans="2:16" ht="30" customHeight="1">
      <c r="B110" s="9">
        <v>104</v>
      </c>
      <c r="C110" s="11">
        <v>9260</v>
      </c>
      <c r="D110" s="12">
        <f t="shared" ca="1" si="10"/>
        <v>-3.2000000000000001E-2</v>
      </c>
      <c r="E110" s="12">
        <f t="shared" ca="1" si="11"/>
        <v>2</v>
      </c>
      <c r="F110" s="12">
        <f t="shared" ca="1" si="12"/>
        <v>662140.46826399118</v>
      </c>
      <c r="G110" s="12">
        <f t="shared" ca="1" si="13"/>
        <v>1519434.7720199372</v>
      </c>
      <c r="H110" s="12">
        <f t="shared" ca="1" si="14"/>
        <v>62.42494840798846</v>
      </c>
      <c r="I110" s="16">
        <f t="shared" ca="1" si="17"/>
        <v>214.49467900000002</v>
      </c>
      <c r="J110" s="12" t="str">
        <f t="shared" ca="1" si="15"/>
        <v>Circular</v>
      </c>
      <c r="K110" s="12" t="str">
        <f t="shared" ca="1" si="16"/>
        <v>Linear</v>
      </c>
      <c r="P110" s="9"/>
    </row>
    <row r="111" spans="2:16" ht="30" customHeight="1">
      <c r="B111" s="9">
        <v>105</v>
      </c>
      <c r="C111" s="11">
        <v>9280</v>
      </c>
      <c r="D111" s="12">
        <f t="shared" ca="1" si="10"/>
        <v>-3.2000000000000001E-2</v>
      </c>
      <c r="E111" s="12">
        <f t="shared" ca="1" si="11"/>
        <v>2</v>
      </c>
      <c r="F111" s="12">
        <f t="shared" ca="1" si="12"/>
        <v>662128.46775434166</v>
      </c>
      <c r="G111" s="12">
        <f t="shared" ca="1" si="13"/>
        <v>1519418.7748600652</v>
      </c>
      <c r="H111" s="12">
        <f t="shared" ca="1" si="14"/>
        <v>62.476999690581223</v>
      </c>
      <c r="I111" s="16">
        <f t="shared" ca="1" si="17"/>
        <v>218.55199900000002</v>
      </c>
      <c r="J111" s="12" t="str">
        <f t="shared" ca="1" si="15"/>
        <v>Circular</v>
      </c>
      <c r="K111" s="12" t="str">
        <f t="shared" ca="1" si="16"/>
        <v>Linear</v>
      </c>
      <c r="P111" s="9"/>
    </row>
    <row r="112" spans="2:16" ht="30" customHeight="1">
      <c r="B112" s="9">
        <v>106</v>
      </c>
      <c r="C112" s="11">
        <v>9300</v>
      </c>
      <c r="D112" s="12">
        <f t="shared" ca="1" si="10"/>
        <v>-3.2000000000000001E-2</v>
      </c>
      <c r="E112" s="12">
        <f t="shared" ca="1" si="11"/>
        <v>2</v>
      </c>
      <c r="F112" s="12">
        <f t="shared" ca="1" si="12"/>
        <v>662115.35616234387</v>
      </c>
      <c r="G112" s="12">
        <f t="shared" ca="1" si="13"/>
        <v>1519403.6749424792</v>
      </c>
      <c r="H112" s="12">
        <f t="shared" ca="1" si="14"/>
        <v>62.529050973173987</v>
      </c>
      <c r="I112" s="16">
        <f t="shared" ca="1" si="17"/>
        <v>223.00531899999999</v>
      </c>
      <c r="J112" s="12" t="str">
        <f t="shared" ca="1" si="15"/>
        <v>Circular</v>
      </c>
      <c r="K112" s="12" t="str">
        <f t="shared" ca="1" si="16"/>
        <v>Linear</v>
      </c>
      <c r="P112" s="9"/>
    </row>
    <row r="113" spans="2:16" ht="30" customHeight="1">
      <c r="B113" s="9">
        <v>107</v>
      </c>
      <c r="C113" s="11">
        <v>9320</v>
      </c>
      <c r="D113" s="12">
        <f t="shared" ca="1" si="10"/>
        <v>-5.9669357814497379E-2</v>
      </c>
      <c r="E113" s="12">
        <f t="shared" ca="1" si="11"/>
        <v>2</v>
      </c>
      <c r="F113" s="12">
        <f t="shared" ca="1" si="12"/>
        <v>662101.24900055421</v>
      </c>
      <c r="G113" s="12">
        <f t="shared" ca="1" si="13"/>
        <v>1519389.4986672304</v>
      </c>
      <c r="H113" s="12">
        <f t="shared" ca="1" si="14"/>
        <v>62.581102255766758</v>
      </c>
      <c r="I113" s="16">
        <f t="shared" ca="1" si="17"/>
        <v>226.353241</v>
      </c>
      <c r="J113" s="12" t="str">
        <f t="shared" ca="1" si="15"/>
        <v>Clothoid</v>
      </c>
      <c r="K113" s="12" t="str">
        <f t="shared" ca="1" si="16"/>
        <v>Linear</v>
      </c>
      <c r="P113" s="9"/>
    </row>
    <row r="114" spans="2:16" ht="30" customHeight="1">
      <c r="B114" s="9">
        <v>108</v>
      </c>
      <c r="C114" s="11">
        <v>9340</v>
      </c>
      <c r="D114" s="12">
        <f t="shared" ca="1" si="10"/>
        <v>-9.8669357814497372E-2</v>
      </c>
      <c r="E114" s="12">
        <f t="shared" ca="1" si="11"/>
        <v>2</v>
      </c>
      <c r="F114" s="12">
        <f t="shared" ca="1" si="12"/>
        <v>662086.51181327505</v>
      </c>
      <c r="G114" s="12">
        <f t="shared" ca="1" si="13"/>
        <v>1519375.9755641096</v>
      </c>
      <c r="H114" s="12">
        <f t="shared" ca="1" si="14"/>
        <v>62.633153538359522</v>
      </c>
      <c r="I114" s="16">
        <f t="shared" ca="1" si="17"/>
        <v>228.123593</v>
      </c>
      <c r="J114" s="12" t="str">
        <f t="shared" ca="1" si="15"/>
        <v>Clothoid</v>
      </c>
      <c r="K114" s="12" t="str">
        <f t="shared" ca="1" si="16"/>
        <v>Linear</v>
      </c>
      <c r="P114" s="9"/>
    </row>
    <row r="115" spans="2:16" ht="30" customHeight="1">
      <c r="B115" s="9">
        <v>109</v>
      </c>
      <c r="C115" s="11">
        <v>9360</v>
      </c>
      <c r="D115" s="12">
        <f t="shared" ca="1" si="10"/>
        <v>-0.11</v>
      </c>
      <c r="E115" s="12">
        <f t="shared" ca="1" si="11"/>
        <v>2</v>
      </c>
      <c r="F115" s="12">
        <f t="shared" ca="1" si="12"/>
        <v>662071.58927267732</v>
      </c>
      <c r="G115" s="12">
        <f t="shared" ca="1" si="13"/>
        <v>1519362.6592629917</v>
      </c>
      <c r="H115" s="12">
        <f t="shared" ca="1" si="14"/>
        <v>62.693395934339847</v>
      </c>
      <c r="I115" s="16">
        <f t="shared" ca="1" si="17"/>
        <v>228.17468199999999</v>
      </c>
      <c r="J115" s="12" t="str">
        <f t="shared" ca="1" si="15"/>
        <v>Linear</v>
      </c>
      <c r="K115" s="12" t="str">
        <f t="shared" ca="1" si="16"/>
        <v>Parabola</v>
      </c>
      <c r="P115" s="9"/>
    </row>
    <row r="116" spans="2:16" ht="30" customHeight="1">
      <c r="B116" s="9">
        <v>110</v>
      </c>
      <c r="C116" s="11">
        <v>9380</v>
      </c>
      <c r="D116" s="12">
        <f t="shared" ca="1" si="10"/>
        <v>-0.13707844401157454</v>
      </c>
      <c r="E116" s="12">
        <f t="shared" ca="1" si="11"/>
        <v>2</v>
      </c>
      <c r="F116" s="12">
        <f t="shared" ca="1" si="12"/>
        <v>662056.6772626692</v>
      </c>
      <c r="G116" s="12">
        <f t="shared" ca="1" si="13"/>
        <v>1519349.3315993275</v>
      </c>
      <c r="H116" s="12">
        <f t="shared" ca="1" si="14"/>
        <v>62.877339080047278</v>
      </c>
      <c r="I116" s="16">
        <f t="shared" ca="1" si="17"/>
        <v>228.13540699999999</v>
      </c>
      <c r="J116" s="12" t="str">
        <f t="shared" ca="1" si="15"/>
        <v>Clothoid</v>
      </c>
      <c r="K116" s="12" t="str">
        <f t="shared" ca="1" si="16"/>
        <v>Parabola</v>
      </c>
      <c r="P116" s="9"/>
    </row>
    <row r="117" spans="2:16" ht="30" customHeight="1">
      <c r="B117" s="9">
        <v>111</v>
      </c>
      <c r="C117" s="11">
        <v>9400</v>
      </c>
      <c r="D117" s="12">
        <f t="shared" ca="1" si="10"/>
        <v>-0.21307844401157455</v>
      </c>
      <c r="E117" s="12">
        <f t="shared" ca="1" si="11"/>
        <v>2</v>
      </c>
      <c r="F117" s="12">
        <f t="shared" ca="1" si="12"/>
        <v>662041.89549201832</v>
      </c>
      <c r="G117" s="12">
        <f t="shared" ca="1" si="13"/>
        <v>1519335.8636362837</v>
      </c>
      <c r="H117" s="12">
        <f t="shared" ca="1" si="14"/>
        <v>63.222335133634658</v>
      </c>
      <c r="I117" s="16">
        <f t="shared" ca="1" si="17"/>
        <v>227.21341000000001</v>
      </c>
      <c r="J117" s="12" t="str">
        <f t="shared" ca="1" si="15"/>
        <v>Clothoid</v>
      </c>
      <c r="K117" s="12" t="str">
        <f t="shared" ca="1" si="16"/>
        <v>Parabola</v>
      </c>
      <c r="P117" s="9"/>
    </row>
    <row r="118" spans="2:16" ht="30" customHeight="1">
      <c r="B118" s="9">
        <v>112</v>
      </c>
      <c r="C118" s="11">
        <v>9420</v>
      </c>
      <c r="D118" s="12">
        <f t="shared" ca="1" si="10"/>
        <v>-0.28907844401157456</v>
      </c>
      <c r="E118" s="12">
        <f t="shared" ca="1" si="11"/>
        <v>2</v>
      </c>
      <c r="F118" s="12">
        <f t="shared" ca="1" si="12"/>
        <v>662027.44730830123</v>
      </c>
      <c r="G118" s="12">
        <f t="shared" ca="1" si="13"/>
        <v>1519322.047578593</v>
      </c>
      <c r="H118" s="12">
        <f t="shared" ca="1" si="14"/>
        <v>63.728384095101994</v>
      </c>
      <c r="I118" s="16">
        <f t="shared" ca="1" si="17"/>
        <v>225.280719</v>
      </c>
      <c r="J118" s="12" t="str">
        <f t="shared" ca="1" si="15"/>
        <v>Clothoid</v>
      </c>
      <c r="K118" s="12" t="str">
        <f t="shared" ca="1" si="16"/>
        <v>Parabola</v>
      </c>
      <c r="P118" s="9"/>
    </row>
    <row r="119" spans="2:16" ht="30" customHeight="1">
      <c r="B119" s="9">
        <v>113</v>
      </c>
      <c r="C119" s="11">
        <v>9440</v>
      </c>
      <c r="D119" s="12">
        <f t="shared" ca="1" si="10"/>
        <v>-0.3</v>
      </c>
      <c r="E119" s="12">
        <f t="shared" ca="1" si="11"/>
        <v>2</v>
      </c>
      <c r="F119" s="12">
        <f t="shared" ca="1" si="12"/>
        <v>662013.52070949541</v>
      </c>
      <c r="G119" s="12">
        <f t="shared" ca="1" si="13"/>
        <v>1519307.7135965403</v>
      </c>
      <c r="H119" s="12">
        <f t="shared" ca="1" si="14"/>
        <v>64.369420595396804</v>
      </c>
      <c r="I119" s="16">
        <f t="shared" ca="1" si="17"/>
        <v>222.55577300000002</v>
      </c>
      <c r="J119" s="12" t="str">
        <f t="shared" ca="1" si="15"/>
        <v>Circular</v>
      </c>
      <c r="K119" s="12" t="str">
        <f t="shared" ca="1" si="16"/>
        <v>Linear</v>
      </c>
      <c r="P119" s="9"/>
    </row>
    <row r="120" spans="2:16" ht="30" customHeight="1">
      <c r="B120" s="9">
        <v>114</v>
      </c>
      <c r="C120" s="11">
        <v>9460</v>
      </c>
      <c r="D120" s="12">
        <f t="shared" ca="1" si="10"/>
        <v>-0.3</v>
      </c>
      <c r="E120" s="12">
        <f t="shared" ca="1" si="11"/>
        <v>2</v>
      </c>
      <c r="F120" s="12">
        <f t="shared" ca="1" si="12"/>
        <v>662000.23662512121</v>
      </c>
      <c r="G120" s="12">
        <f t="shared" ca="1" si="13"/>
        <v>1519292.7826154854</v>
      </c>
      <c r="H120" s="12">
        <f t="shared" ca="1" si="14"/>
        <v>65.025420282539386</v>
      </c>
      <c r="I120" s="16">
        <f t="shared" ca="1" si="17"/>
        <v>220.23104099999998</v>
      </c>
      <c r="J120" s="12" t="str">
        <f t="shared" ca="1" si="15"/>
        <v>Circular</v>
      </c>
      <c r="K120" s="12" t="str">
        <f t="shared" ca="1" si="16"/>
        <v>Linear</v>
      </c>
      <c r="P120" s="9"/>
    </row>
    <row r="121" spans="2:16" ht="30" customHeight="1">
      <c r="B121" s="9">
        <v>115</v>
      </c>
      <c r="C121" s="11">
        <v>9480</v>
      </c>
      <c r="D121" s="12">
        <f t="shared" ca="1" si="10"/>
        <v>-0.3</v>
      </c>
      <c r="E121" s="12">
        <f t="shared" ca="1" si="11"/>
        <v>2</v>
      </c>
      <c r="F121" s="12">
        <f t="shared" ca="1" si="12"/>
        <v>661987.62903938163</v>
      </c>
      <c r="G121" s="12">
        <f t="shared" ca="1" si="13"/>
        <v>1519277.2761692537</v>
      </c>
      <c r="H121" s="12">
        <f t="shared" ca="1" si="14"/>
        <v>65.681419969681968</v>
      </c>
      <c r="I121" s="16">
        <f t="shared" ca="1" si="17"/>
        <v>217.502308</v>
      </c>
      <c r="J121" s="12" t="str">
        <f t="shared" ca="1" si="15"/>
        <v>Circular</v>
      </c>
      <c r="K121" s="12" t="str">
        <f t="shared" ca="1" si="16"/>
        <v>Linear</v>
      </c>
      <c r="P121" s="9"/>
    </row>
    <row r="122" spans="2:16" ht="30" customHeight="1">
      <c r="B122" s="9">
        <v>116</v>
      </c>
      <c r="C122" s="11">
        <v>9500</v>
      </c>
      <c r="D122" s="12">
        <f t="shared" ca="1" si="10"/>
        <v>-0.27192699235783946</v>
      </c>
      <c r="E122" s="12">
        <f t="shared" ca="1" si="11"/>
        <v>2</v>
      </c>
      <c r="F122" s="12">
        <f t="shared" ca="1" si="12"/>
        <v>661975.69732258515</v>
      </c>
      <c r="G122" s="12">
        <f t="shared" ca="1" si="13"/>
        <v>1519261.2425652125</v>
      </c>
      <c r="H122" s="12">
        <f t="shared" ca="1" si="14"/>
        <v>66.337419656824565</v>
      </c>
      <c r="I122" s="16">
        <f t="shared" ca="1" si="17"/>
        <v>215.21459200000001</v>
      </c>
      <c r="J122" s="12" t="str">
        <f t="shared" ca="1" si="15"/>
        <v>Clothoid</v>
      </c>
      <c r="K122" s="12" t="str">
        <f t="shared" ca="1" si="16"/>
        <v>Linear</v>
      </c>
      <c r="P122" s="9"/>
    </row>
    <row r="123" spans="2:16" ht="30" customHeight="1">
      <c r="B123" s="9">
        <v>117</v>
      </c>
      <c r="C123" s="11">
        <v>9520</v>
      </c>
      <c r="D123" s="12">
        <f t="shared" ca="1" si="10"/>
        <v>-0.19592699235783947</v>
      </c>
      <c r="E123" s="12">
        <f t="shared" ca="1" si="11"/>
        <v>2</v>
      </c>
      <c r="F123" s="12">
        <f t="shared" ca="1" si="12"/>
        <v>661964.32597268897</v>
      </c>
      <c r="G123" s="12">
        <f t="shared" ca="1" si="13"/>
        <v>1519244.7988946445</v>
      </c>
      <c r="H123" s="12">
        <f t="shared" ca="1" si="14"/>
        <v>66.993419343967162</v>
      </c>
      <c r="I123" s="16">
        <f t="shared" ca="1" si="17"/>
        <v>213.42065499999998</v>
      </c>
      <c r="J123" s="12" t="str">
        <f t="shared" ca="1" si="15"/>
        <v>Clothoid</v>
      </c>
      <c r="K123" s="12" t="str">
        <f t="shared" ca="1" si="16"/>
        <v>Linear</v>
      </c>
      <c r="P123" s="9"/>
    </row>
    <row r="124" spans="2:16" ht="30" customHeight="1">
      <c r="B124" s="9">
        <v>118</v>
      </c>
      <c r="C124" s="11">
        <v>9540</v>
      </c>
      <c r="D124" s="12">
        <f t="shared" ca="1" si="10"/>
        <v>-0.11992699235783949</v>
      </c>
      <c r="E124" s="12">
        <f t="shared" ca="1" si="11"/>
        <v>2</v>
      </c>
      <c r="F124" s="12">
        <f t="shared" ca="1" si="12"/>
        <v>661953.28432365786</v>
      </c>
      <c r="G124" s="12">
        <f t="shared" ca="1" si="13"/>
        <v>1519228.1253204364</v>
      </c>
      <c r="H124" s="12">
        <f t="shared" ca="1" si="14"/>
        <v>67.649419031109744</v>
      </c>
      <c r="I124" s="16">
        <f t="shared" ca="1" si="17"/>
        <v>213.033412</v>
      </c>
      <c r="J124" s="12" t="str">
        <f t="shared" ca="1" si="15"/>
        <v>Clothoid</v>
      </c>
      <c r="K124" s="12" t="str">
        <f t="shared" ca="1" si="16"/>
        <v>Linear</v>
      </c>
      <c r="P124" s="9"/>
    </row>
    <row r="125" spans="2:16" ht="30" customHeight="1">
      <c r="B125" s="9">
        <v>119</v>
      </c>
      <c r="C125" s="11">
        <v>9560</v>
      </c>
      <c r="D125" s="12">
        <f t="shared" ca="1" si="10"/>
        <v>-0.11</v>
      </c>
      <c r="E125" s="12">
        <f t="shared" ca="1" si="11"/>
        <v>2</v>
      </c>
      <c r="F125" s="12">
        <f t="shared" ca="1" si="12"/>
        <v>661942.3682610885</v>
      </c>
      <c r="G125" s="12">
        <f t="shared" ca="1" si="13"/>
        <v>1519211.3670700323</v>
      </c>
      <c r="H125" s="12">
        <f t="shared" ca="1" si="14"/>
        <v>68.305418718252341</v>
      </c>
      <c r="I125" s="16">
        <f t="shared" ca="1" si="17"/>
        <v>213.03028399999999</v>
      </c>
      <c r="J125" s="12" t="str">
        <f t="shared" ca="1" si="15"/>
        <v>Linear</v>
      </c>
      <c r="K125" s="12" t="str">
        <f t="shared" ca="1" si="16"/>
        <v>Linear</v>
      </c>
      <c r="P125" s="9"/>
    </row>
    <row r="126" spans="2:16" ht="30" customHeight="1">
      <c r="B126" s="9">
        <v>120</v>
      </c>
      <c r="C126" s="11">
        <v>9580</v>
      </c>
      <c r="D126" s="12">
        <f t="shared" ca="1" si="10"/>
        <v>-0.10008995599524932</v>
      </c>
      <c r="E126" s="12">
        <f t="shared" ca="1" si="11"/>
        <v>2</v>
      </c>
      <c r="F126" s="12">
        <f t="shared" ca="1" si="12"/>
        <v>661931.43690172967</v>
      </c>
      <c r="G126" s="12">
        <f t="shared" ca="1" si="13"/>
        <v>1519194.6182560904</v>
      </c>
      <c r="H126" s="12">
        <f t="shared" ca="1" si="14"/>
        <v>68.961418405394923</v>
      </c>
      <c r="I126" s="16">
        <f t="shared" ca="1" si="17"/>
        <v>213.18071700000002</v>
      </c>
      <c r="J126" s="12" t="str">
        <f t="shared" ca="1" si="15"/>
        <v>Clothoid</v>
      </c>
      <c r="K126" s="12" t="str">
        <f t="shared" ca="1" si="16"/>
        <v>Linear</v>
      </c>
      <c r="P126" s="9"/>
    </row>
    <row r="127" spans="2:16" ht="30" customHeight="1">
      <c r="B127" s="9">
        <v>121</v>
      </c>
      <c r="C127" s="11">
        <v>9600</v>
      </c>
      <c r="D127" s="12">
        <f t="shared" ca="1" si="10"/>
        <v>-0.09</v>
      </c>
      <c r="E127" s="12">
        <f t="shared" ca="1" si="11"/>
        <v>2</v>
      </c>
      <c r="F127" s="12">
        <f t="shared" ca="1" si="12"/>
        <v>661920.26834557333</v>
      </c>
      <c r="G127" s="12">
        <f t="shared" ca="1" si="13"/>
        <v>1519178.0250690768</v>
      </c>
      <c r="H127" s="12">
        <f t="shared" ca="1" si="14"/>
        <v>69.61741809253752</v>
      </c>
      <c r="I127" s="16">
        <f t="shared" ca="1" si="17"/>
        <v>214.40429900000001</v>
      </c>
      <c r="J127" s="12" t="str">
        <f t="shared" ca="1" si="15"/>
        <v>Circular</v>
      </c>
      <c r="K127" s="12" t="str">
        <f t="shared" ca="1" si="16"/>
        <v>Linear</v>
      </c>
      <c r="P127" s="9"/>
    </row>
    <row r="128" spans="2:16" ht="30" customHeight="1">
      <c r="B128" s="9">
        <v>122</v>
      </c>
      <c r="C128" s="11">
        <v>9620</v>
      </c>
      <c r="D128" s="12">
        <f t="shared" ca="1" si="10"/>
        <v>-9.1366052663653677E-2</v>
      </c>
      <c r="E128" s="12">
        <f t="shared" ca="1" si="11"/>
        <v>2</v>
      </c>
      <c r="F128" s="12">
        <f t="shared" ca="1" si="12"/>
        <v>661908.65515010094</v>
      </c>
      <c r="G128" s="12">
        <f t="shared" ca="1" si="13"/>
        <v>1519161.7398046099</v>
      </c>
      <c r="H128" s="12">
        <f t="shared" ca="1" si="14"/>
        <v>70.273417779680102</v>
      </c>
      <c r="I128" s="16">
        <f t="shared" ca="1" si="17"/>
        <v>216.183908</v>
      </c>
      <c r="J128" s="12" t="str">
        <f t="shared" ca="1" si="15"/>
        <v>Clothoid</v>
      </c>
      <c r="K128" s="12" t="str">
        <f t="shared" ca="1" si="16"/>
        <v>Linear</v>
      </c>
      <c r="P128" s="9"/>
    </row>
    <row r="129" spans="2:16" ht="30" customHeight="1">
      <c r="B129" s="9">
        <v>123</v>
      </c>
      <c r="C129" s="11">
        <v>9640</v>
      </c>
      <c r="D129" s="12">
        <f t="shared" ca="1" si="10"/>
        <v>-0.10736605266365368</v>
      </c>
      <c r="E129" s="12">
        <f t="shared" ca="1" si="11"/>
        <v>2</v>
      </c>
      <c r="F129" s="12">
        <f t="shared" ca="1" si="12"/>
        <v>661896.67129370861</v>
      </c>
      <c r="G129" s="12">
        <f t="shared" ca="1" si="13"/>
        <v>1519145.7261035575</v>
      </c>
      <c r="H129" s="12">
        <f t="shared" ca="1" si="14"/>
        <v>70.929417466822684</v>
      </c>
      <c r="I129" s="16">
        <f t="shared" ca="1" si="17"/>
        <v>217.105253</v>
      </c>
      <c r="J129" s="12" t="str">
        <f t="shared" ca="1" si="15"/>
        <v>Clothoid</v>
      </c>
      <c r="K129" s="12" t="str">
        <f t="shared" ca="1" si="16"/>
        <v>Linear</v>
      </c>
      <c r="P129" s="9"/>
    </row>
    <row r="130" spans="2:16" ht="30" customHeight="1">
      <c r="B130" s="9">
        <v>124</v>
      </c>
      <c r="C130" s="11">
        <v>9660</v>
      </c>
      <c r="D130" s="12">
        <f t="shared" ca="1" si="10"/>
        <v>-0.11</v>
      </c>
      <c r="E130" s="12">
        <f t="shared" ca="1" si="11"/>
        <v>2</v>
      </c>
      <c r="F130" s="12">
        <f t="shared" ca="1" si="12"/>
        <v>661884.58193868154</v>
      </c>
      <c r="G130" s="12">
        <f t="shared" ca="1" si="13"/>
        <v>1519129.7934693785</v>
      </c>
      <c r="H130" s="12">
        <f t="shared" ca="1" si="14"/>
        <v>71.585417153965281</v>
      </c>
      <c r="I130" s="16">
        <f t="shared" ca="1" si="17"/>
        <v>217.11564100000001</v>
      </c>
      <c r="J130" s="12" t="str">
        <f t="shared" ca="1" si="15"/>
        <v>Linear</v>
      </c>
      <c r="K130" s="12" t="str">
        <f t="shared" ca="1" si="16"/>
        <v>Linear</v>
      </c>
      <c r="P130" s="9"/>
    </row>
    <row r="131" spans="2:16" ht="30" customHeight="1">
      <c r="B131" s="9">
        <v>125</v>
      </c>
      <c r="C131" s="11">
        <v>9680</v>
      </c>
      <c r="D131" s="12">
        <f t="shared" ca="1" si="10"/>
        <v>-0.11</v>
      </c>
      <c r="E131" s="12">
        <f t="shared" ca="1" si="11"/>
        <v>2</v>
      </c>
      <c r="F131" s="12">
        <f t="shared" ca="1" si="12"/>
        <v>661872.49023200315</v>
      </c>
      <c r="G131" s="12">
        <f t="shared" ca="1" si="13"/>
        <v>1519113.8626618157</v>
      </c>
      <c r="H131" s="12">
        <f t="shared" ca="1" si="14"/>
        <v>72.241416841107863</v>
      </c>
      <c r="I131" s="16">
        <f t="shared" ca="1" si="17"/>
        <v>217.11564100000001</v>
      </c>
      <c r="J131" s="12" t="str">
        <f t="shared" ca="1" si="15"/>
        <v>Linear</v>
      </c>
      <c r="K131" s="12" t="str">
        <f t="shared" ca="1" si="16"/>
        <v>Linear</v>
      </c>
      <c r="P131" s="9"/>
    </row>
    <row r="132" spans="2:16" ht="30" customHeight="1">
      <c r="B132" s="9">
        <v>126</v>
      </c>
      <c r="C132" s="11">
        <v>9700</v>
      </c>
      <c r="D132" s="12">
        <f t="shared" ca="1" si="10"/>
        <v>-0.11</v>
      </c>
      <c r="E132" s="12">
        <f t="shared" ca="1" si="11"/>
        <v>2</v>
      </c>
      <c r="F132" s="12">
        <f t="shared" ca="1" si="12"/>
        <v>661860.39852532465</v>
      </c>
      <c r="G132" s="12">
        <f t="shared" ca="1" si="13"/>
        <v>1519097.9318542529</v>
      </c>
      <c r="H132" s="12">
        <f t="shared" ca="1" si="14"/>
        <v>72.89741652825046</v>
      </c>
      <c r="I132" s="16">
        <f t="shared" ca="1" si="17"/>
        <v>217.11564100000001</v>
      </c>
      <c r="J132" s="12" t="str">
        <f t="shared" ca="1" si="15"/>
        <v>Linear</v>
      </c>
      <c r="K132" s="12" t="str">
        <f t="shared" ca="1" si="16"/>
        <v>Linear</v>
      </c>
      <c r="P132" s="9"/>
    </row>
    <row r="133" spans="2:16" ht="30" customHeight="1">
      <c r="B133" s="9">
        <v>127</v>
      </c>
      <c r="C133" s="11">
        <v>9720</v>
      </c>
      <c r="D133" s="12">
        <f t="shared" ca="1" si="10"/>
        <v>-0.13119913259668134</v>
      </c>
      <c r="E133" s="12">
        <f t="shared" ca="1" si="11"/>
        <v>2</v>
      </c>
      <c r="F133" s="12">
        <f t="shared" ca="1" si="12"/>
        <v>661848.32550832594</v>
      </c>
      <c r="G133" s="12">
        <f t="shared" ca="1" si="13"/>
        <v>1519081.9870182639</v>
      </c>
      <c r="H133" s="12">
        <f t="shared" ca="1" si="14"/>
        <v>73.553416215393042</v>
      </c>
      <c r="I133" s="16">
        <f t="shared" ca="1" si="17"/>
        <v>217.08404000000002</v>
      </c>
      <c r="J133" s="12" t="str">
        <f t="shared" ca="1" si="15"/>
        <v>Clothoid</v>
      </c>
      <c r="K133" s="12" t="str">
        <f t="shared" ca="1" si="16"/>
        <v>Linear</v>
      </c>
      <c r="P133" s="9"/>
    </row>
    <row r="134" spans="2:16" ht="30" customHeight="1">
      <c r="B134" s="9">
        <v>128</v>
      </c>
      <c r="C134" s="11">
        <v>9740</v>
      </c>
      <c r="D134" s="12">
        <f t="shared" ca="1" si="10"/>
        <v>-0.19301731441486317</v>
      </c>
      <c r="E134" s="12">
        <f t="shared" ca="1" si="11"/>
        <v>2</v>
      </c>
      <c r="F134" s="12">
        <f t="shared" ca="1" si="12"/>
        <v>661836.38719072228</v>
      </c>
      <c r="G134" s="12">
        <f t="shared" ca="1" si="13"/>
        <v>1519065.9438763526</v>
      </c>
      <c r="H134" s="12">
        <f t="shared" ca="1" si="14"/>
        <v>74.209415902535639</v>
      </c>
      <c r="I134" s="16">
        <f t="shared" ca="1" si="17"/>
        <v>216.21504400000001</v>
      </c>
      <c r="J134" s="12" t="str">
        <f t="shared" ca="1" si="15"/>
        <v>Clothoid</v>
      </c>
      <c r="K134" s="12" t="str">
        <f t="shared" ca="1" si="16"/>
        <v>Linear</v>
      </c>
      <c r="P134" s="9"/>
    </row>
    <row r="135" spans="2:16" ht="30" customHeight="1">
      <c r="B135" s="9">
        <v>129</v>
      </c>
      <c r="C135" s="11">
        <v>9760</v>
      </c>
      <c r="D135" s="12">
        <f t="shared" ca="1" si="10"/>
        <v>-0.25483549623304502</v>
      </c>
      <c r="E135" s="12">
        <f t="shared" ca="1" si="11"/>
        <v>2</v>
      </c>
      <c r="F135" s="12">
        <f t="shared" ca="1" si="12"/>
        <v>661824.80278251285</v>
      </c>
      <c r="G135" s="12">
        <f t="shared" ca="1" si="13"/>
        <v>1519049.6495355116</v>
      </c>
      <c r="H135" s="12">
        <f t="shared" ca="1" si="14"/>
        <v>74.865415589678221</v>
      </c>
      <c r="I135" s="16">
        <f t="shared" ref="I135:I164" ca="1" si="18">DegtoDMSStr3(Hor(C135,D135,INDIRECT($D$2),"W"))</f>
        <v>214.39269099999999</v>
      </c>
      <c r="J135" s="12" t="str">
        <f t="shared" ca="1" si="15"/>
        <v>Clothoid</v>
      </c>
      <c r="K135" s="12" t="str">
        <f t="shared" ca="1" si="16"/>
        <v>Linear</v>
      </c>
      <c r="P135" s="9"/>
    </row>
    <row r="136" spans="2:16" ht="30" customHeight="1">
      <c r="B136" s="9">
        <v>130</v>
      </c>
      <c r="C136" s="11">
        <v>9780</v>
      </c>
      <c r="D136" s="12">
        <f t="shared" ref="D136:D164" ca="1" si="19">TunnelOffset(C136,INDIRECT($H$2),"H")</f>
        <v>-0.28000000000000003</v>
      </c>
      <c r="E136" s="12">
        <f t="shared" ref="E136:E164" ca="1" si="20">TunnelOffset(C136,INDIRECT($H$2),"V")</f>
        <v>2</v>
      </c>
      <c r="F136" s="12">
        <f t="shared" ref="F136:F164" ca="1" si="21">Hor(C136,D136,INDIRECT($D$2),"E")</f>
        <v>661813.80666539562</v>
      </c>
      <c r="G136" s="12">
        <f t="shared" ref="G136:G164" ca="1" si="22">Hor(C136,D136,INDIRECT($D$2),"N")</f>
        <v>1519032.9593776113</v>
      </c>
      <c r="H136" s="12">
        <f t="shared" ref="H136:H164" ca="1" si="23">ver(C136,INDIRECT($F$2))+E136</f>
        <v>75.521415276820818</v>
      </c>
      <c r="I136" s="16">
        <f t="shared" ca="1" si="18"/>
        <v>212.11157800000001</v>
      </c>
      <c r="J136" s="12" t="str">
        <f t="shared" ref="J136:J164" ca="1" si="24">HorType(C136,INDIRECT($D$2))</f>
        <v>Circular</v>
      </c>
      <c r="K136" s="12" t="str">
        <f t="shared" ref="K136:K164" ca="1" si="25">VerType(C136,INDIRECT($F$2))</f>
        <v>Linear</v>
      </c>
      <c r="P136" s="9"/>
    </row>
    <row r="137" spans="2:16" ht="30" customHeight="1">
      <c r="B137" s="9">
        <v>131</v>
      </c>
      <c r="C137" s="11">
        <v>9800</v>
      </c>
      <c r="D137" s="12">
        <f t="shared" ca="1" si="19"/>
        <v>-0.28000000000000003</v>
      </c>
      <c r="E137" s="12">
        <f t="shared" ca="1" si="20"/>
        <v>2</v>
      </c>
      <c r="F137" s="12">
        <f t="shared" ca="1" si="21"/>
        <v>661803.5387410142</v>
      </c>
      <c r="G137" s="12">
        <f t="shared" ca="1" si="22"/>
        <v>1519015.812764284</v>
      </c>
      <c r="H137" s="12">
        <f t="shared" ca="1" si="23"/>
        <v>76.1774149639634</v>
      </c>
      <c r="I137" s="16">
        <f t="shared" ca="1" si="18"/>
        <v>209.382846</v>
      </c>
      <c r="J137" s="12" t="str">
        <f t="shared" ca="1" si="24"/>
        <v>Circular</v>
      </c>
      <c r="K137" s="12" t="str">
        <f t="shared" ca="1" si="25"/>
        <v>Linear</v>
      </c>
      <c r="P137" s="9"/>
    </row>
    <row r="138" spans="2:16" ht="30" customHeight="1">
      <c r="B138" s="9">
        <v>132</v>
      </c>
      <c r="C138" s="11">
        <v>9820</v>
      </c>
      <c r="D138" s="12">
        <f t="shared" ca="1" si="19"/>
        <v>-0.28000000000000003</v>
      </c>
      <c r="E138" s="12">
        <f t="shared" ca="1" si="20"/>
        <v>2</v>
      </c>
      <c r="F138" s="12">
        <f t="shared" ca="1" si="21"/>
        <v>661794.04277696391</v>
      </c>
      <c r="G138" s="12">
        <f t="shared" ca="1" si="22"/>
        <v>1518998.2268811252</v>
      </c>
      <c r="H138" s="12">
        <f t="shared" ca="1" si="23"/>
        <v>76.833414651105997</v>
      </c>
      <c r="I138" s="16">
        <f t="shared" ca="1" si="18"/>
        <v>207.054113</v>
      </c>
      <c r="J138" s="12" t="str">
        <f t="shared" ca="1" si="24"/>
        <v>Circular</v>
      </c>
      <c r="K138" s="12" t="str">
        <f t="shared" ca="1" si="25"/>
        <v>Linear</v>
      </c>
      <c r="P138" s="9"/>
    </row>
    <row r="139" spans="2:16" ht="30" customHeight="1">
      <c r="B139" s="9">
        <v>133</v>
      </c>
      <c r="C139" s="11">
        <v>9840</v>
      </c>
      <c r="D139" s="12">
        <f t="shared" ca="1" si="19"/>
        <v>-0.24553959433324982</v>
      </c>
      <c r="E139" s="12">
        <f t="shared" ca="1" si="20"/>
        <v>2</v>
      </c>
      <c r="F139" s="12">
        <f t="shared" ca="1" si="21"/>
        <v>661785.29746766132</v>
      </c>
      <c r="G139" s="12">
        <f t="shared" ca="1" si="22"/>
        <v>1518980.2541496204</v>
      </c>
      <c r="H139" s="12">
        <f t="shared" ca="1" si="23"/>
        <v>77.489414338248579</v>
      </c>
      <c r="I139" s="16">
        <f t="shared" ca="1" si="18"/>
        <v>204.41317599999999</v>
      </c>
      <c r="J139" s="12" t="str">
        <f t="shared" ca="1" si="24"/>
        <v>Clothoid</v>
      </c>
      <c r="K139" s="12" t="str">
        <f t="shared" ca="1" si="25"/>
        <v>Linear</v>
      </c>
      <c r="P139" s="9"/>
    </row>
    <row r="140" spans="2:16" ht="30" customHeight="1">
      <c r="B140" s="9">
        <v>134</v>
      </c>
      <c r="C140" s="11">
        <v>9860</v>
      </c>
      <c r="D140" s="12">
        <f t="shared" ca="1" si="19"/>
        <v>-0.18372141251506796</v>
      </c>
      <c r="E140" s="12">
        <f t="shared" ca="1" si="20"/>
        <v>2</v>
      </c>
      <c r="F140" s="12">
        <f t="shared" ca="1" si="21"/>
        <v>661777.16267669958</v>
      </c>
      <c r="G140" s="12">
        <f t="shared" ca="1" si="22"/>
        <v>1518961.9903661618</v>
      </c>
      <c r="H140" s="12">
        <f t="shared" ca="1" si="23"/>
        <v>78.145414025391176</v>
      </c>
      <c r="I140" s="16">
        <f t="shared" ca="1" si="18"/>
        <v>203.07295099999999</v>
      </c>
      <c r="J140" s="12" t="str">
        <f t="shared" ca="1" si="24"/>
        <v>Clothoid</v>
      </c>
      <c r="K140" s="12" t="str">
        <f t="shared" ca="1" si="25"/>
        <v>Linear</v>
      </c>
      <c r="P140" s="9"/>
    </row>
    <row r="141" spans="2:16" ht="30" customHeight="1">
      <c r="B141" s="9">
        <v>135</v>
      </c>
      <c r="C141" s="11">
        <v>9880</v>
      </c>
      <c r="D141" s="12">
        <f t="shared" ca="1" si="19"/>
        <v>-0.12190323069688613</v>
      </c>
      <c r="E141" s="12">
        <f t="shared" ca="1" si="20"/>
        <v>2</v>
      </c>
      <c r="F141" s="12">
        <f t="shared" ca="1" si="21"/>
        <v>661769.37956534757</v>
      </c>
      <c r="G141" s="12">
        <f t="shared" ca="1" si="22"/>
        <v>1518943.568885881</v>
      </c>
      <c r="H141" s="12">
        <f t="shared" ca="1" si="23"/>
        <v>78.801413712533758</v>
      </c>
      <c r="I141" s="16">
        <f t="shared" ca="1" si="18"/>
        <v>202.29008399999998</v>
      </c>
      <c r="J141" s="12" t="str">
        <f t="shared" ca="1" si="24"/>
        <v>Clothoid</v>
      </c>
      <c r="K141" s="12" t="str">
        <f t="shared" ca="1" si="25"/>
        <v>Linear</v>
      </c>
      <c r="P141" s="9"/>
    </row>
    <row r="142" spans="2:16" ht="30" customHeight="1">
      <c r="B142" s="9">
        <v>136</v>
      </c>
      <c r="C142" s="11">
        <v>9900</v>
      </c>
      <c r="D142" s="12">
        <f t="shared" ca="1" si="19"/>
        <v>-0.11</v>
      </c>
      <c r="E142" s="12">
        <f t="shared" ca="1" si="20"/>
        <v>2</v>
      </c>
      <c r="F142" s="12">
        <f t="shared" ca="1" si="21"/>
        <v>661761.72539725481</v>
      </c>
      <c r="G142" s="12">
        <f t="shared" ca="1" si="22"/>
        <v>1518925.0915374388</v>
      </c>
      <c r="H142" s="12">
        <f t="shared" ca="1" si="23"/>
        <v>79.457413399676355</v>
      </c>
      <c r="I142" s="16">
        <f t="shared" ca="1" si="18"/>
        <v>202.275904</v>
      </c>
      <c r="J142" s="12" t="str">
        <f t="shared" ca="1" si="24"/>
        <v>Linear</v>
      </c>
      <c r="K142" s="12" t="str">
        <f t="shared" ca="1" si="25"/>
        <v>Linear</v>
      </c>
      <c r="P142" s="9"/>
    </row>
    <row r="143" spans="2:16" ht="30" customHeight="1">
      <c r="B143" s="9">
        <v>137</v>
      </c>
      <c r="C143" s="11">
        <v>9920</v>
      </c>
      <c r="D143" s="12">
        <f t="shared" ca="1" si="19"/>
        <v>-0.12114888929604059</v>
      </c>
      <c r="E143" s="12">
        <f t="shared" ca="1" si="20"/>
        <v>2</v>
      </c>
      <c r="F143" s="12">
        <f t="shared" ca="1" si="21"/>
        <v>661754.10155195731</v>
      </c>
      <c r="G143" s="12">
        <f t="shared" ca="1" si="22"/>
        <v>1518906.6019450447</v>
      </c>
      <c r="H143" s="12">
        <f t="shared" ca="1" si="23"/>
        <v>80.113413086818937</v>
      </c>
      <c r="I143" s="16">
        <f t="shared" ca="1" si="18"/>
        <v>202.19242199999999</v>
      </c>
      <c r="J143" s="12" t="str">
        <f t="shared" ca="1" si="24"/>
        <v>Clothoid</v>
      </c>
      <c r="K143" s="12" t="str">
        <f t="shared" ca="1" si="25"/>
        <v>Linear</v>
      </c>
      <c r="P143" s="9"/>
    </row>
    <row r="144" spans="2:16" ht="30" customHeight="1">
      <c r="B144" s="9">
        <v>138</v>
      </c>
      <c r="C144" s="11">
        <v>9940</v>
      </c>
      <c r="D144" s="12">
        <f t="shared" ca="1" si="19"/>
        <v>-0.14000000000000001</v>
      </c>
      <c r="E144" s="12">
        <f t="shared" ca="1" si="20"/>
        <v>2</v>
      </c>
      <c r="F144" s="12">
        <f t="shared" ca="1" si="21"/>
        <v>661746.65584469563</v>
      </c>
      <c r="G144" s="12">
        <f t="shared" ca="1" si="22"/>
        <v>1518888.0422450488</v>
      </c>
      <c r="H144" s="12">
        <f t="shared" ca="1" si="23"/>
        <v>80.769412773961534</v>
      </c>
      <c r="I144" s="16">
        <f t="shared" ca="1" si="18"/>
        <v>201.21058500000001</v>
      </c>
      <c r="J144" s="12" t="str">
        <f t="shared" ca="1" si="24"/>
        <v>Circular</v>
      </c>
      <c r="K144" s="12" t="str">
        <f t="shared" ca="1" si="25"/>
        <v>Linear</v>
      </c>
      <c r="P144" s="9"/>
    </row>
    <row r="145" spans="2:16" ht="30" customHeight="1">
      <c r="B145" s="9">
        <v>139</v>
      </c>
      <c r="C145" s="11">
        <v>9960</v>
      </c>
      <c r="D145" s="12">
        <f t="shared" ca="1" si="19"/>
        <v>-0.14000000000000001</v>
      </c>
      <c r="E145" s="12">
        <f t="shared" ca="1" si="20"/>
        <v>2</v>
      </c>
      <c r="F145" s="12">
        <f t="shared" ca="1" si="21"/>
        <v>661739.60034056706</v>
      </c>
      <c r="G145" s="12">
        <f t="shared" ca="1" si="22"/>
        <v>1518869.332205351</v>
      </c>
      <c r="H145" s="12">
        <f t="shared" ca="1" si="23"/>
        <v>81.386473271004434</v>
      </c>
      <c r="I145" s="16">
        <f t="shared" ca="1" si="18"/>
        <v>199.58156200000002</v>
      </c>
      <c r="J145" s="12" t="str">
        <f t="shared" ca="1" si="24"/>
        <v>Circular</v>
      </c>
      <c r="K145" s="12" t="str">
        <f t="shared" ca="1" si="25"/>
        <v>Parabola</v>
      </c>
      <c r="P145" s="9"/>
    </row>
    <row r="146" spans="2:16" ht="30" customHeight="1">
      <c r="B146" s="9">
        <v>140</v>
      </c>
      <c r="C146" s="11">
        <v>9980</v>
      </c>
      <c r="D146" s="12">
        <f t="shared" ca="1" si="19"/>
        <v>-0.12929659927673676</v>
      </c>
      <c r="E146" s="12">
        <f t="shared" ca="1" si="20"/>
        <v>2</v>
      </c>
      <c r="F146" s="12">
        <f t="shared" ca="1" si="21"/>
        <v>661732.97967835399</v>
      </c>
      <c r="G146" s="12">
        <f t="shared" ca="1" si="22"/>
        <v>1518850.4633781719</v>
      </c>
      <c r="H146" s="12">
        <f t="shared" ca="1" si="23"/>
        <v>81.875790653640649</v>
      </c>
      <c r="I146" s="16">
        <f t="shared" ca="1" si="18"/>
        <v>198.43198800000002</v>
      </c>
      <c r="J146" s="12" t="str">
        <f t="shared" ca="1" si="24"/>
        <v>Clothoid</v>
      </c>
      <c r="K146" s="12" t="str">
        <f t="shared" ca="1" si="25"/>
        <v>Parabola</v>
      </c>
      <c r="P146" s="9"/>
    </row>
    <row r="147" spans="2:16" ht="30" customHeight="1">
      <c r="B147" s="9">
        <v>141</v>
      </c>
      <c r="C147" s="11">
        <v>10000</v>
      </c>
      <c r="D147" s="12">
        <f t="shared" ca="1" si="19"/>
        <v>-0.11</v>
      </c>
      <c r="E147" s="12">
        <f t="shared" ca="1" si="20"/>
        <v>2</v>
      </c>
      <c r="F147" s="12">
        <f t="shared" ca="1" si="21"/>
        <v>661726.63824876747</v>
      </c>
      <c r="G147" s="12">
        <f t="shared" ca="1" si="22"/>
        <v>1518831.4963586887</v>
      </c>
      <c r="H147" s="12">
        <f t="shared" ca="1" si="23"/>
        <v>82.233908098848346</v>
      </c>
      <c r="I147" s="16">
        <f t="shared" ca="1" si="18"/>
        <v>198.17376199999998</v>
      </c>
      <c r="J147" s="12" t="str">
        <f t="shared" ca="1" si="24"/>
        <v>Linear</v>
      </c>
      <c r="K147" s="12" t="str">
        <f t="shared" ca="1" si="25"/>
        <v>Parabola</v>
      </c>
      <c r="P147" s="9"/>
    </row>
    <row r="148" spans="2:16" ht="30" customHeight="1">
      <c r="B148" s="9">
        <v>142</v>
      </c>
      <c r="C148" s="11">
        <v>10020</v>
      </c>
      <c r="D148" s="12">
        <f t="shared" ca="1" si="19"/>
        <v>-0.11</v>
      </c>
      <c r="E148" s="12">
        <f t="shared" ca="1" si="20"/>
        <v>2</v>
      </c>
      <c r="F148" s="12">
        <f t="shared" ca="1" si="21"/>
        <v>661720.36045788985</v>
      </c>
      <c r="G148" s="12">
        <f t="shared" ca="1" si="22"/>
        <v>1518812.5071685612</v>
      </c>
      <c r="H148" s="12">
        <f t="shared" ca="1" si="23"/>
        <v>82.460825606627523</v>
      </c>
      <c r="I148" s="16">
        <f t="shared" ca="1" si="18"/>
        <v>198.17376199999998</v>
      </c>
      <c r="J148" s="12" t="str">
        <f t="shared" ca="1" si="24"/>
        <v>Linear</v>
      </c>
      <c r="K148" s="12" t="str">
        <f t="shared" ca="1" si="25"/>
        <v>Parabola</v>
      </c>
      <c r="P148" s="9"/>
    </row>
    <row r="149" spans="2:16" ht="30" customHeight="1">
      <c r="B149" s="9">
        <v>143</v>
      </c>
      <c r="C149" s="11">
        <v>10040</v>
      </c>
      <c r="D149" s="12">
        <f t="shared" ca="1" si="19"/>
        <v>-0.11</v>
      </c>
      <c r="E149" s="12">
        <f t="shared" ca="1" si="20"/>
        <v>2</v>
      </c>
      <c r="F149" s="12">
        <f t="shared" ca="1" si="21"/>
        <v>661714.08266701212</v>
      </c>
      <c r="G149" s="12">
        <f t="shared" ca="1" si="22"/>
        <v>1518793.5179784338</v>
      </c>
      <c r="H149" s="12">
        <f t="shared" ca="1" si="23"/>
        <v>82.556543176978181</v>
      </c>
      <c r="I149" s="16">
        <f t="shared" ca="1" si="18"/>
        <v>198.17376199999998</v>
      </c>
      <c r="J149" s="12" t="str">
        <f t="shared" ca="1" si="24"/>
        <v>Linear</v>
      </c>
      <c r="K149" s="12" t="str">
        <f t="shared" ca="1" si="25"/>
        <v>Parabola</v>
      </c>
      <c r="P149" s="9"/>
    </row>
    <row r="150" spans="2:16" ht="30" customHeight="1">
      <c r="B150" s="9">
        <v>144</v>
      </c>
      <c r="C150" s="11">
        <v>10060</v>
      </c>
      <c r="D150" s="12">
        <f t="shared" ca="1" si="19"/>
        <v>-0.11</v>
      </c>
      <c r="E150" s="12">
        <f t="shared" ca="1" si="20"/>
        <v>2</v>
      </c>
      <c r="F150" s="12">
        <f t="shared" ca="1" si="21"/>
        <v>661707.8048761345</v>
      </c>
      <c r="G150" s="12">
        <f t="shared" ca="1" si="22"/>
        <v>1518774.5287883063</v>
      </c>
      <c r="H150" s="12">
        <f t="shared" ca="1" si="23"/>
        <v>82.56</v>
      </c>
      <c r="I150" s="16">
        <f t="shared" ca="1" si="18"/>
        <v>198.17376199999998</v>
      </c>
      <c r="J150" s="12" t="str">
        <f t="shared" ca="1" si="24"/>
        <v>Linear</v>
      </c>
      <c r="K150" s="12" t="str">
        <f t="shared" ca="1" si="25"/>
        <v>Linear</v>
      </c>
      <c r="P150" s="9"/>
    </row>
    <row r="151" spans="2:16" ht="30" customHeight="1">
      <c r="B151" s="9">
        <v>145</v>
      </c>
      <c r="C151" s="11">
        <v>10080</v>
      </c>
      <c r="D151" s="12">
        <f t="shared" ca="1" si="19"/>
        <v>-0.11</v>
      </c>
      <c r="E151" s="12">
        <f t="shared" ca="1" si="20"/>
        <v>2</v>
      </c>
      <c r="F151" s="12">
        <f t="shared" ca="1" si="21"/>
        <v>661701.52708525688</v>
      </c>
      <c r="G151" s="12">
        <f t="shared" ca="1" si="22"/>
        <v>1518755.5395981788</v>
      </c>
      <c r="H151" s="12">
        <f t="shared" ca="1" si="23"/>
        <v>82.56</v>
      </c>
      <c r="I151" s="16">
        <f t="shared" ca="1" si="18"/>
        <v>198.17376199999998</v>
      </c>
      <c r="J151" s="12" t="str">
        <f t="shared" ca="1" si="24"/>
        <v>Linear</v>
      </c>
      <c r="K151" s="12" t="str">
        <f t="shared" ca="1" si="25"/>
        <v>Linear</v>
      </c>
      <c r="P151" s="9"/>
    </row>
    <row r="152" spans="2:16" ht="30" customHeight="1">
      <c r="B152" s="9">
        <v>146</v>
      </c>
      <c r="C152" s="11">
        <v>10100</v>
      </c>
      <c r="D152" s="12">
        <f t="shared" ca="1" si="19"/>
        <v>-0.11</v>
      </c>
      <c r="E152" s="12">
        <f t="shared" ca="1" si="20"/>
        <v>2</v>
      </c>
      <c r="F152" s="12">
        <f t="shared" ca="1" si="21"/>
        <v>661695.24929437914</v>
      </c>
      <c r="G152" s="12">
        <f t="shared" ca="1" si="22"/>
        <v>1518736.5504080513</v>
      </c>
      <c r="H152" s="12">
        <f t="shared" ca="1" si="23"/>
        <v>82.56</v>
      </c>
      <c r="I152" s="16">
        <f t="shared" ca="1" si="18"/>
        <v>198.17376199999998</v>
      </c>
      <c r="J152" s="12" t="str">
        <f t="shared" ca="1" si="24"/>
        <v>Linear</v>
      </c>
      <c r="K152" s="12" t="str">
        <f t="shared" ca="1" si="25"/>
        <v>Linear</v>
      </c>
      <c r="P152" s="9"/>
    </row>
    <row r="153" spans="2:16" ht="30" customHeight="1">
      <c r="B153" s="9">
        <v>147</v>
      </c>
      <c r="C153" s="11">
        <v>10120</v>
      </c>
      <c r="D153" s="12">
        <f t="shared" ca="1" si="19"/>
        <v>-0.11</v>
      </c>
      <c r="E153" s="12">
        <f t="shared" ca="1" si="20"/>
        <v>2</v>
      </c>
      <c r="F153" s="12">
        <f t="shared" ca="1" si="21"/>
        <v>661688.97150350153</v>
      </c>
      <c r="G153" s="12">
        <f t="shared" ca="1" si="22"/>
        <v>1518717.5612179239</v>
      </c>
      <c r="H153" s="12">
        <f t="shared" ca="1" si="23"/>
        <v>82.56</v>
      </c>
      <c r="I153" s="16">
        <f t="shared" ca="1" si="18"/>
        <v>198.17376199999998</v>
      </c>
      <c r="J153" s="12" t="str">
        <f t="shared" ca="1" si="24"/>
        <v>Linear</v>
      </c>
      <c r="K153" s="12" t="str">
        <f t="shared" ca="1" si="25"/>
        <v>Linear</v>
      </c>
      <c r="P153" s="9"/>
    </row>
    <row r="154" spans="2:16" ht="30" customHeight="1">
      <c r="B154" s="9">
        <v>148</v>
      </c>
      <c r="C154" s="11">
        <v>10140</v>
      </c>
      <c r="D154" s="12">
        <f t="shared" ca="1" si="19"/>
        <v>-0.11</v>
      </c>
      <c r="E154" s="12">
        <f t="shared" ca="1" si="20"/>
        <v>2</v>
      </c>
      <c r="F154" s="12">
        <f t="shared" ca="1" si="21"/>
        <v>661682.69371262391</v>
      </c>
      <c r="G154" s="12">
        <f t="shared" ca="1" si="22"/>
        <v>1518698.5720277964</v>
      </c>
      <c r="H154" s="12">
        <f t="shared" ca="1" si="23"/>
        <v>82.56</v>
      </c>
      <c r="I154" s="16">
        <f t="shared" ca="1" si="18"/>
        <v>198.17376199999998</v>
      </c>
      <c r="J154" s="12" t="str">
        <f t="shared" ca="1" si="24"/>
        <v>Linear</v>
      </c>
      <c r="K154" s="12" t="str">
        <f t="shared" ca="1" si="25"/>
        <v>Linear</v>
      </c>
      <c r="P154" s="9"/>
    </row>
    <row r="155" spans="2:16" ht="30" customHeight="1">
      <c r="B155" s="9">
        <v>149</v>
      </c>
      <c r="C155" s="11">
        <v>10160</v>
      </c>
      <c r="D155" s="12">
        <f t="shared" ca="1" si="19"/>
        <v>-0.11</v>
      </c>
      <c r="E155" s="12">
        <f t="shared" ca="1" si="20"/>
        <v>2</v>
      </c>
      <c r="F155" s="12">
        <f t="shared" ca="1" si="21"/>
        <v>661676.41592174617</v>
      </c>
      <c r="G155" s="12">
        <f t="shared" ca="1" si="22"/>
        <v>1518679.5828376692</v>
      </c>
      <c r="H155" s="12">
        <f t="shared" ca="1" si="23"/>
        <v>82.56</v>
      </c>
      <c r="I155" s="16">
        <f t="shared" ca="1" si="18"/>
        <v>198.17376199999998</v>
      </c>
      <c r="J155" s="12" t="str">
        <f t="shared" ca="1" si="24"/>
        <v>Linear</v>
      </c>
      <c r="K155" s="12" t="str">
        <f t="shared" ca="1" si="25"/>
        <v>Linear</v>
      </c>
      <c r="P155" s="9"/>
    </row>
    <row r="156" spans="2:16" ht="30" customHeight="1">
      <c r="B156" s="9">
        <v>150</v>
      </c>
      <c r="C156" s="11">
        <v>10180</v>
      </c>
      <c r="D156" s="12">
        <f t="shared" ca="1" si="19"/>
        <v>-0.11</v>
      </c>
      <c r="E156" s="12">
        <f t="shared" ca="1" si="20"/>
        <v>2</v>
      </c>
      <c r="F156" s="12">
        <f t="shared" ca="1" si="21"/>
        <v>661670.13813086855</v>
      </c>
      <c r="G156" s="12">
        <f t="shared" ca="1" si="22"/>
        <v>1518660.5936475417</v>
      </c>
      <c r="H156" s="12">
        <f t="shared" ca="1" si="23"/>
        <v>82.56</v>
      </c>
      <c r="I156" s="16">
        <f t="shared" ca="1" si="18"/>
        <v>198.17376199999998</v>
      </c>
      <c r="J156" s="12" t="str">
        <f t="shared" ca="1" si="24"/>
        <v>Linear</v>
      </c>
      <c r="K156" s="12" t="str">
        <f t="shared" ca="1" si="25"/>
        <v>Linear</v>
      </c>
      <c r="P156" s="9"/>
    </row>
    <row r="157" spans="2:16" ht="30" customHeight="1">
      <c r="B157" s="9">
        <v>151</v>
      </c>
      <c r="C157" s="11">
        <v>10200</v>
      </c>
      <c r="D157" s="12">
        <f t="shared" ca="1" si="19"/>
        <v>-0.11</v>
      </c>
      <c r="E157" s="12">
        <f t="shared" ca="1" si="20"/>
        <v>2</v>
      </c>
      <c r="F157" s="12">
        <f t="shared" ca="1" si="21"/>
        <v>661663.86033999082</v>
      </c>
      <c r="G157" s="12">
        <f t="shared" ca="1" si="22"/>
        <v>1518641.6044574142</v>
      </c>
      <c r="H157" s="12">
        <f t="shared" ca="1" si="23"/>
        <v>82.56</v>
      </c>
      <c r="I157" s="16">
        <f t="shared" ca="1" si="18"/>
        <v>198.17376199999998</v>
      </c>
      <c r="J157" s="12" t="str">
        <f t="shared" ca="1" si="24"/>
        <v>Linear</v>
      </c>
      <c r="K157" s="12" t="str">
        <f t="shared" ca="1" si="25"/>
        <v>Linear</v>
      </c>
      <c r="P157" s="9"/>
    </row>
    <row r="158" spans="2:16" ht="30" customHeight="1">
      <c r="B158" s="9">
        <v>152</v>
      </c>
      <c r="C158" s="11">
        <v>10220</v>
      </c>
      <c r="D158" s="12">
        <f t="shared" ca="1" si="19"/>
        <v>-0.11</v>
      </c>
      <c r="E158" s="12">
        <f t="shared" ca="1" si="20"/>
        <v>2</v>
      </c>
      <c r="F158" s="12">
        <f t="shared" ca="1" si="21"/>
        <v>661657.5825491132</v>
      </c>
      <c r="G158" s="12">
        <f t="shared" ca="1" si="22"/>
        <v>1518622.6152672868</v>
      </c>
      <c r="H158" s="12">
        <f t="shared" ca="1" si="23"/>
        <v>82.56</v>
      </c>
      <c r="I158" s="16">
        <f t="shared" ca="1" si="18"/>
        <v>198.17376199999998</v>
      </c>
      <c r="J158" s="12" t="str">
        <f t="shared" ca="1" si="24"/>
        <v>Linear</v>
      </c>
      <c r="K158" s="12" t="str">
        <f t="shared" ca="1" si="25"/>
        <v>Linear</v>
      </c>
      <c r="P158" s="9"/>
    </row>
    <row r="159" spans="2:16" ht="30" customHeight="1">
      <c r="B159" s="9">
        <v>153</v>
      </c>
      <c r="C159" s="11">
        <v>10240</v>
      </c>
      <c r="D159" s="12">
        <f t="shared" ca="1" si="19"/>
        <v>-0.11</v>
      </c>
      <c r="E159" s="12">
        <f t="shared" ca="1" si="20"/>
        <v>2</v>
      </c>
      <c r="F159" s="12">
        <f t="shared" ca="1" si="21"/>
        <v>661651.30475823558</v>
      </c>
      <c r="G159" s="12">
        <f t="shared" ca="1" si="22"/>
        <v>1518603.6260771593</v>
      </c>
      <c r="H159" s="12">
        <f t="shared" ca="1" si="23"/>
        <v>82.56</v>
      </c>
      <c r="I159" s="16">
        <f t="shared" ca="1" si="18"/>
        <v>198.17376199999998</v>
      </c>
      <c r="J159" s="12" t="str">
        <f t="shared" ca="1" si="24"/>
        <v>Linear</v>
      </c>
      <c r="K159" s="12" t="str">
        <f t="shared" ca="1" si="25"/>
        <v>Linear</v>
      </c>
      <c r="P159" s="9"/>
    </row>
    <row r="160" spans="2:16" ht="30" customHeight="1">
      <c r="B160" s="9">
        <v>154</v>
      </c>
      <c r="C160" s="11">
        <v>10260</v>
      </c>
      <c r="D160" s="12">
        <f t="shared" ca="1" si="19"/>
        <v>-0.11</v>
      </c>
      <c r="E160" s="12">
        <f t="shared" ca="1" si="20"/>
        <v>2</v>
      </c>
      <c r="F160" s="12">
        <f t="shared" ca="1" si="21"/>
        <v>661645.02696735784</v>
      </c>
      <c r="G160" s="12">
        <f t="shared" ca="1" si="22"/>
        <v>1518584.6368870318</v>
      </c>
      <c r="H160" s="12">
        <f t="shared" ca="1" si="23"/>
        <v>82.56</v>
      </c>
      <c r="I160" s="16">
        <f t="shared" ca="1" si="18"/>
        <v>198.17376199999998</v>
      </c>
      <c r="J160" s="12" t="str">
        <f t="shared" ca="1" si="24"/>
        <v>Linear</v>
      </c>
      <c r="K160" s="12" t="str">
        <f t="shared" ca="1" si="25"/>
        <v>Linear</v>
      </c>
      <c r="P160" s="9"/>
    </row>
    <row r="161" spans="2:16" ht="30" customHeight="1">
      <c r="B161" s="9">
        <v>155</v>
      </c>
      <c r="C161" s="11">
        <v>10280</v>
      </c>
      <c r="D161" s="12">
        <f t="shared" ca="1" si="19"/>
        <v>-0.11</v>
      </c>
      <c r="E161" s="12">
        <f t="shared" ca="1" si="20"/>
        <v>2</v>
      </c>
      <c r="F161" s="12">
        <f t="shared" ca="1" si="21"/>
        <v>661638.74917648023</v>
      </c>
      <c r="G161" s="12">
        <f t="shared" ca="1" si="22"/>
        <v>1518565.6476969044</v>
      </c>
      <c r="H161" s="12">
        <f t="shared" ca="1" si="23"/>
        <v>82.56</v>
      </c>
      <c r="I161" s="16">
        <f t="shared" ca="1" si="18"/>
        <v>198.17376199999998</v>
      </c>
      <c r="J161" s="12" t="str">
        <f t="shared" ca="1" si="24"/>
        <v>Linear</v>
      </c>
      <c r="K161" s="12" t="str">
        <f t="shared" ca="1" si="25"/>
        <v>Linear</v>
      </c>
      <c r="P161" s="9"/>
    </row>
    <row r="162" spans="2:16" ht="30" customHeight="1">
      <c r="B162" s="9">
        <v>156</v>
      </c>
      <c r="C162" s="11">
        <v>10300</v>
      </c>
      <c r="D162" s="12">
        <f t="shared" ca="1" si="19"/>
        <v>-0.11</v>
      </c>
      <c r="E162" s="12">
        <f t="shared" ca="1" si="20"/>
        <v>2</v>
      </c>
      <c r="F162" s="12">
        <f t="shared" ca="1" si="21"/>
        <v>661632.47138560261</v>
      </c>
      <c r="G162" s="12">
        <f t="shared" ca="1" si="22"/>
        <v>1518546.6585067769</v>
      </c>
      <c r="H162" s="12">
        <f t="shared" ca="1" si="23"/>
        <v>82.56</v>
      </c>
      <c r="I162" s="16">
        <f t="shared" ca="1" si="18"/>
        <v>198.17376199999998</v>
      </c>
      <c r="J162" s="12" t="str">
        <f t="shared" ca="1" si="24"/>
        <v>Linear</v>
      </c>
      <c r="K162" s="12" t="str">
        <f t="shared" ca="1" si="25"/>
        <v>Linear</v>
      </c>
      <c r="P162" s="9"/>
    </row>
    <row r="163" spans="2:16" ht="30" customHeight="1">
      <c r="B163" s="9">
        <v>157</v>
      </c>
      <c r="C163" s="11">
        <v>10320</v>
      </c>
      <c r="D163" s="12">
        <f t="shared" ca="1" si="19"/>
        <v>-0.11</v>
      </c>
      <c r="E163" s="12">
        <f t="shared" ca="1" si="20"/>
        <v>2</v>
      </c>
      <c r="F163" s="12">
        <f t="shared" ca="1" si="21"/>
        <v>661626.19359472487</v>
      </c>
      <c r="G163" s="12">
        <f t="shared" ca="1" si="22"/>
        <v>1518527.6693166494</v>
      </c>
      <c r="H163" s="12">
        <f t="shared" ca="1" si="23"/>
        <v>82.56</v>
      </c>
      <c r="I163" s="16">
        <f t="shared" ca="1" si="18"/>
        <v>198.17376199999998</v>
      </c>
      <c r="J163" s="12" t="str">
        <f t="shared" ca="1" si="24"/>
        <v>Linear</v>
      </c>
      <c r="K163" s="12" t="str">
        <f t="shared" ca="1" si="25"/>
        <v>Linear</v>
      </c>
      <c r="P163" s="9"/>
    </row>
    <row r="164" spans="2:16" ht="30" customHeight="1">
      <c r="B164" s="9">
        <v>158</v>
      </c>
      <c r="C164" s="11">
        <v>10324.339349976901</v>
      </c>
      <c r="D164" s="12">
        <f t="shared" ca="1" si="19"/>
        <v>-0.11</v>
      </c>
      <c r="E164" s="12">
        <f t="shared" ca="1" si="20"/>
        <v>2</v>
      </c>
      <c r="F164" s="12">
        <f t="shared" ca="1" si="21"/>
        <v>661624.83154054719</v>
      </c>
      <c r="G164" s="12">
        <f t="shared" ca="1" si="22"/>
        <v>1518523.5492721547</v>
      </c>
      <c r="H164" s="12">
        <f t="shared" ca="1" si="23"/>
        <v>82.56</v>
      </c>
      <c r="I164" s="16">
        <f t="shared" ca="1" si="18"/>
        <v>198.17376199999998</v>
      </c>
      <c r="J164" s="12" t="str">
        <f t="shared" ca="1" si="24"/>
        <v>Linear</v>
      </c>
      <c r="K164" s="12" t="str">
        <f t="shared" ca="1" si="25"/>
        <v>Linear</v>
      </c>
      <c r="L164" s="12" t="s">
        <v>105</v>
      </c>
      <c r="P164" s="9"/>
    </row>
  </sheetData>
  <mergeCells count="4">
    <mergeCell ref="D4:E4"/>
    <mergeCell ref="F4:I4"/>
    <mergeCell ref="J4:K4"/>
    <mergeCell ref="N4:O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4DE7-A7F9-4071-B2BA-D23F10B0A200}">
  <sheetPr codeName="Sheet2"/>
  <dimension ref="A2:L64"/>
  <sheetViews>
    <sheetView zoomScale="70" zoomScaleNormal="70" workbookViewId="0">
      <selection activeCell="E5" sqref="E5"/>
    </sheetView>
  </sheetViews>
  <sheetFormatPr defaultRowHeight="30" customHeight="1"/>
  <cols>
    <col min="1" max="1" width="8.88671875" style="1"/>
    <col min="2" max="2" width="25.77734375" style="1" customWidth="1"/>
    <col min="3" max="4" width="15.77734375" style="1" customWidth="1"/>
    <col min="5" max="10" width="20.77734375" style="1" customWidth="1"/>
    <col min="11" max="11" width="15.77734375" style="1" customWidth="1"/>
    <col min="12" max="12" width="30.77734375" style="1" customWidth="1"/>
    <col min="13" max="16384" width="8.88671875" style="1"/>
  </cols>
  <sheetData>
    <row r="2" spans="1:12" ht="30" customHeight="1">
      <c r="B2" s="2" t="s">
        <v>0</v>
      </c>
      <c r="C2" s="21" t="s">
        <v>1</v>
      </c>
      <c r="D2" s="21"/>
      <c r="E2" s="21"/>
    </row>
    <row r="3" spans="1:12" ht="40.049999999999997" customHeight="1">
      <c r="B3" s="19" t="s">
        <v>2</v>
      </c>
      <c r="C3" s="19"/>
      <c r="D3" s="19"/>
      <c r="E3" s="19"/>
      <c r="F3" s="19"/>
      <c r="G3" s="19"/>
      <c r="H3" s="19"/>
      <c r="I3" s="19"/>
      <c r="J3" s="19"/>
      <c r="K3" s="19"/>
      <c r="L3" s="19"/>
    </row>
    <row r="4" spans="1:12" ht="30" customHeight="1"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8</v>
      </c>
      <c r="H4" s="2" t="s">
        <v>9</v>
      </c>
      <c r="I4" s="2" t="s">
        <v>10</v>
      </c>
      <c r="J4" s="2" t="s">
        <v>11</v>
      </c>
      <c r="K4" s="2" t="s">
        <v>12</v>
      </c>
      <c r="L4" s="2" t="s">
        <v>13</v>
      </c>
    </row>
    <row r="5" spans="1:12" ht="30" customHeight="1">
      <c r="A5" s="1" t="s">
        <v>14</v>
      </c>
      <c r="B5" s="4" t="s">
        <v>15</v>
      </c>
      <c r="C5" s="4" t="s">
        <v>16</v>
      </c>
      <c r="D5" s="5">
        <f t="shared" ref="D5:D64" si="0">D6 + 1</f>
        <v>60</v>
      </c>
      <c r="E5" s="6">
        <v>7202.8339999999998</v>
      </c>
      <c r="F5" s="6">
        <f t="shared" ref="F5:F63" si="1">E6</f>
        <v>7280.7684697643826</v>
      </c>
      <c r="G5" s="7">
        <v>662670.304</v>
      </c>
      <c r="H5" s="7">
        <v>1521355.848</v>
      </c>
      <c r="I5" s="7">
        <v>150.92629300070647</v>
      </c>
      <c r="J5" s="7">
        <v>0</v>
      </c>
      <c r="K5" s="4" t="s">
        <v>17</v>
      </c>
      <c r="L5" s="8" t="s">
        <v>18</v>
      </c>
    </row>
    <row r="6" spans="1:12" ht="30" customHeight="1">
      <c r="A6" s="1" t="s">
        <v>19</v>
      </c>
      <c r="B6" s="4" t="s">
        <v>20</v>
      </c>
      <c r="C6" s="4" t="s">
        <v>21</v>
      </c>
      <c r="D6" s="5">
        <f t="shared" si="0"/>
        <v>59</v>
      </c>
      <c r="E6" s="6">
        <v>7280.7684697643826</v>
      </c>
      <c r="F6" s="6">
        <f t="shared" si="1"/>
        <v>7310.7684697643826</v>
      </c>
      <c r="G6" s="7">
        <v>662708.17503886321</v>
      </c>
      <c r="H6" s="7">
        <v>1521287.7336403327</v>
      </c>
      <c r="I6" s="7">
        <v>150.92629300070647</v>
      </c>
      <c r="J6" s="7">
        <v>200</v>
      </c>
      <c r="K6" s="4" t="s">
        <v>22</v>
      </c>
      <c r="L6" s="8" t="s">
        <v>23</v>
      </c>
    </row>
    <row r="7" spans="1:12" ht="30" customHeight="1">
      <c r="A7" s="1" t="s">
        <v>24</v>
      </c>
      <c r="B7" s="4"/>
      <c r="C7" s="4" t="s">
        <v>25</v>
      </c>
      <c r="D7" s="5">
        <f t="shared" si="0"/>
        <v>58</v>
      </c>
      <c r="E7" s="6">
        <v>7310.7684697643826</v>
      </c>
      <c r="F7" s="6">
        <f t="shared" si="1"/>
        <v>7432.4082365561835</v>
      </c>
      <c r="G7" s="7">
        <v>662722.08963891165</v>
      </c>
      <c r="H7" s="7">
        <v>1521261.1642217757</v>
      </c>
      <c r="I7" s="7">
        <v>155.22347622824552</v>
      </c>
      <c r="J7" s="7">
        <v>200</v>
      </c>
      <c r="K7" s="4" t="s">
        <v>26</v>
      </c>
      <c r="L7" s="8" t="s">
        <v>27</v>
      </c>
    </row>
    <row r="8" spans="1:12" ht="30" customHeight="1">
      <c r="A8" s="1" t="s">
        <v>28</v>
      </c>
      <c r="B8" s="4"/>
      <c r="C8" s="4" t="s">
        <v>29</v>
      </c>
      <c r="D8" s="5">
        <f t="shared" si="0"/>
        <v>57</v>
      </c>
      <c r="E8" s="6">
        <v>7432.4082365561835</v>
      </c>
      <c r="F8" s="6">
        <f t="shared" si="1"/>
        <v>7462.4082365561835</v>
      </c>
      <c r="G8" s="7">
        <v>662737.41833189619</v>
      </c>
      <c r="H8" s="7">
        <v>1521142.3755447094</v>
      </c>
      <c r="I8" s="7">
        <v>190.07070332727307</v>
      </c>
      <c r="J8" s="7">
        <v>200</v>
      </c>
      <c r="K8" s="4" t="s">
        <v>30</v>
      </c>
      <c r="L8" s="8" t="s">
        <v>31</v>
      </c>
    </row>
    <row r="9" spans="1:12" ht="30" customHeight="1">
      <c r="A9" s="1" t="s">
        <v>32</v>
      </c>
      <c r="B9" s="4"/>
      <c r="C9" s="4" t="s">
        <v>33</v>
      </c>
      <c r="D9" s="5">
        <f t="shared" si="0"/>
        <v>56</v>
      </c>
      <c r="E9" s="6">
        <v>7462.4082365561835</v>
      </c>
      <c r="F9" s="6">
        <f t="shared" si="1"/>
        <v>7495.4275500033864</v>
      </c>
      <c r="G9" s="7">
        <v>662730.70435984794</v>
      </c>
      <c r="H9" s="7">
        <v>1521113.1441801295</v>
      </c>
      <c r="I9" s="7">
        <v>194.36788655481212</v>
      </c>
      <c r="J9" s="7">
        <v>0</v>
      </c>
      <c r="K9" s="4" t="s">
        <v>17</v>
      </c>
    </row>
    <row r="10" spans="1:12" ht="30" customHeight="1">
      <c r="A10" s="1" t="s">
        <v>34</v>
      </c>
      <c r="B10" s="4" t="s">
        <v>35</v>
      </c>
      <c r="C10" s="4" t="s">
        <v>21</v>
      </c>
      <c r="D10" s="5">
        <f t="shared" si="0"/>
        <v>55</v>
      </c>
      <c r="E10" s="6">
        <v>7495.4275500033864</v>
      </c>
      <c r="F10" s="6">
        <f t="shared" si="1"/>
        <v>7520.4275500033864</v>
      </c>
      <c r="G10" s="7">
        <v>662722.51071163139</v>
      </c>
      <c r="H10" s="7">
        <v>1521081.1576331225</v>
      </c>
      <c r="I10" s="7">
        <v>194.36788655481212</v>
      </c>
      <c r="J10" s="7">
        <v>-2200</v>
      </c>
      <c r="K10" s="4" t="s">
        <v>22</v>
      </c>
    </row>
    <row r="11" spans="1:12" ht="30" customHeight="1">
      <c r="A11" s="1" t="s">
        <v>36</v>
      </c>
      <c r="B11" s="4"/>
      <c r="C11" s="4" t="s">
        <v>25</v>
      </c>
      <c r="D11" s="5">
        <f t="shared" si="0"/>
        <v>54</v>
      </c>
      <c r="E11" s="6">
        <v>7520.4275500033864</v>
      </c>
      <c r="F11" s="6">
        <f t="shared" si="1"/>
        <v>7546.1593074077082</v>
      </c>
      <c r="G11" s="7">
        <v>662716.35292544111</v>
      </c>
      <c r="H11" s="7">
        <v>1521056.9279018878</v>
      </c>
      <c r="I11" s="7">
        <v>194.04234237090765</v>
      </c>
      <c r="J11" s="7">
        <v>-2200</v>
      </c>
      <c r="K11" s="4" t="s">
        <v>26</v>
      </c>
    </row>
    <row r="12" spans="1:12" ht="30" customHeight="1">
      <c r="A12" s="1" t="s">
        <v>37</v>
      </c>
      <c r="B12" s="4"/>
      <c r="C12" s="4" t="s">
        <v>29</v>
      </c>
      <c r="D12" s="5">
        <f t="shared" si="0"/>
        <v>53</v>
      </c>
      <c r="E12" s="6">
        <v>7546.1593074077082</v>
      </c>
      <c r="F12" s="6">
        <f t="shared" si="1"/>
        <v>7571.1593074077082</v>
      </c>
      <c r="G12" s="7">
        <v>662710.25552736293</v>
      </c>
      <c r="H12" s="7">
        <v>1521031.9291513695</v>
      </c>
      <c r="I12" s="7">
        <v>193.37219637095944</v>
      </c>
      <c r="J12" s="7">
        <v>-2200</v>
      </c>
      <c r="K12" s="4" t="s">
        <v>30</v>
      </c>
    </row>
    <row r="13" spans="1:12" ht="30" customHeight="1">
      <c r="A13" s="1" t="s">
        <v>38</v>
      </c>
      <c r="B13" s="4"/>
      <c r="C13" s="4" t="s">
        <v>33</v>
      </c>
      <c r="D13" s="5">
        <f t="shared" si="0"/>
        <v>52</v>
      </c>
      <c r="E13" s="6">
        <v>7571.1593074077082</v>
      </c>
      <c r="F13" s="6">
        <f t="shared" si="1"/>
        <v>7682.3558307983403</v>
      </c>
      <c r="G13" s="7">
        <v>662704.56581143581</v>
      </c>
      <c r="H13" s="7">
        <v>1521007.5852539986</v>
      </c>
      <c r="I13" s="7">
        <v>193.04665218705497</v>
      </c>
      <c r="J13" s="7">
        <v>0</v>
      </c>
      <c r="K13" s="4" t="s">
        <v>17</v>
      </c>
    </row>
    <row r="14" spans="1:12" ht="30" customHeight="1">
      <c r="A14" s="1" t="s">
        <v>39</v>
      </c>
      <c r="B14" s="4" t="s">
        <v>40</v>
      </c>
      <c r="C14" s="4" t="s">
        <v>21</v>
      </c>
      <c r="D14" s="5">
        <f t="shared" si="0"/>
        <v>51</v>
      </c>
      <c r="E14" s="6">
        <v>7682.3558307983403</v>
      </c>
      <c r="F14" s="6">
        <f t="shared" si="1"/>
        <v>7707.3558307983403</v>
      </c>
      <c r="G14" s="7">
        <v>662679.4638207017</v>
      </c>
      <c r="H14" s="7">
        <v>1520899.2590942986</v>
      </c>
      <c r="I14" s="7">
        <v>193.04665218705497</v>
      </c>
      <c r="J14" s="7">
        <v>2300</v>
      </c>
      <c r="K14" s="4" t="s">
        <v>22</v>
      </c>
    </row>
    <row r="15" spans="1:12" ht="30" customHeight="1">
      <c r="A15" s="1" t="s">
        <v>41</v>
      </c>
      <c r="B15" s="4"/>
      <c r="C15" s="4" t="s">
        <v>25</v>
      </c>
      <c r="D15" s="5">
        <f t="shared" si="0"/>
        <v>50</v>
      </c>
      <c r="E15" s="6">
        <v>7707.3558307983403</v>
      </c>
      <c r="F15" s="6">
        <f t="shared" si="1"/>
        <v>7742.2430898280754</v>
      </c>
      <c r="G15" s="7">
        <v>662673.77610870101</v>
      </c>
      <c r="H15" s="7">
        <v>1520874.9147255186</v>
      </c>
      <c r="I15" s="7">
        <v>193.35804227600707</v>
      </c>
      <c r="J15" s="7">
        <v>2300</v>
      </c>
      <c r="K15" s="4" t="s">
        <v>26</v>
      </c>
    </row>
    <row r="16" spans="1:12" ht="30" customHeight="1">
      <c r="A16" s="1" t="s">
        <v>42</v>
      </c>
      <c r="B16" s="4"/>
      <c r="C16" s="4" t="s">
        <v>29</v>
      </c>
      <c r="D16" s="5">
        <f t="shared" si="0"/>
        <v>49</v>
      </c>
      <c r="E16" s="6">
        <v>7742.2430898280754</v>
      </c>
      <c r="F16" s="6">
        <f t="shared" si="1"/>
        <v>7767.2430898280754</v>
      </c>
      <c r="G16" s="7">
        <v>662665.45879599813</v>
      </c>
      <c r="H16" s="7">
        <v>1520841.0337601257</v>
      </c>
      <c r="I16" s="7">
        <v>194.22712610488139</v>
      </c>
      <c r="J16" s="7">
        <v>2300</v>
      </c>
      <c r="K16" s="4" t="s">
        <v>30</v>
      </c>
    </row>
    <row r="17" spans="1:11" ht="30" customHeight="1">
      <c r="A17" s="1" t="s">
        <v>43</v>
      </c>
      <c r="B17" s="4"/>
      <c r="C17" s="4" t="s">
        <v>33</v>
      </c>
      <c r="D17" s="5">
        <f t="shared" si="0"/>
        <v>48</v>
      </c>
      <c r="E17" s="6">
        <v>7767.2430898280754</v>
      </c>
      <c r="F17" s="6">
        <f t="shared" si="1"/>
        <v>7805.1378543969158</v>
      </c>
      <c r="G17" s="7">
        <v>662659.22688547324</v>
      </c>
      <c r="H17" s="7">
        <v>1520816.822984627</v>
      </c>
      <c r="I17" s="7">
        <v>194.53851619383349</v>
      </c>
      <c r="J17" s="7">
        <v>0</v>
      </c>
      <c r="K17" s="4" t="s">
        <v>17</v>
      </c>
    </row>
    <row r="18" spans="1:11" ht="30" customHeight="1">
      <c r="A18" s="1" t="s">
        <v>44</v>
      </c>
      <c r="B18" s="4" t="s">
        <v>45</v>
      </c>
      <c r="C18" s="4" t="s">
        <v>21</v>
      </c>
      <c r="D18" s="5">
        <f t="shared" si="0"/>
        <v>47</v>
      </c>
      <c r="E18" s="6">
        <v>7805.1378543969158</v>
      </c>
      <c r="F18" s="6">
        <f t="shared" si="1"/>
        <v>7830.1378543969158</v>
      </c>
      <c r="G18" s="7">
        <v>662649.71412950312</v>
      </c>
      <c r="H18" s="7">
        <v>1520780.1416452897</v>
      </c>
      <c r="I18" s="7">
        <v>194.53851619383349</v>
      </c>
      <c r="J18" s="7">
        <v>-2400</v>
      </c>
      <c r="K18" s="4" t="s">
        <v>22</v>
      </c>
    </row>
    <row r="19" spans="1:11" ht="30" customHeight="1">
      <c r="A19" s="1" t="s">
        <v>46</v>
      </c>
      <c r="B19" s="4"/>
      <c r="C19" s="4" t="s">
        <v>25</v>
      </c>
      <c r="D19" s="5">
        <f t="shared" si="0"/>
        <v>46</v>
      </c>
      <c r="E19" s="6">
        <v>7830.1378543969158</v>
      </c>
      <c r="F19" s="6">
        <f t="shared" si="1"/>
        <v>7877.3642489977383</v>
      </c>
      <c r="G19" s="7">
        <v>662643.48039082543</v>
      </c>
      <c r="H19" s="7">
        <v>1520755.9313376702</v>
      </c>
      <c r="I19" s="7">
        <v>194.24010069192104</v>
      </c>
      <c r="J19" s="7">
        <v>-2400</v>
      </c>
      <c r="K19" s="4" t="s">
        <v>26</v>
      </c>
    </row>
    <row r="20" spans="1:11" ht="30" customHeight="1">
      <c r="A20" s="1" t="s">
        <v>47</v>
      </c>
      <c r="B20" s="4"/>
      <c r="C20" s="4" t="s">
        <v>29</v>
      </c>
      <c r="D20" s="5">
        <f t="shared" si="0"/>
        <v>45</v>
      </c>
      <c r="E20" s="6">
        <v>7877.3642489977383</v>
      </c>
      <c r="F20" s="6">
        <f t="shared" si="1"/>
        <v>7902.3642489977383</v>
      </c>
      <c r="G20" s="7">
        <v>662632.31447872112</v>
      </c>
      <c r="H20" s="7">
        <v>1520710.0447079458</v>
      </c>
      <c r="I20" s="7">
        <v>193.11265352402503</v>
      </c>
      <c r="J20" s="7">
        <v>-2400</v>
      </c>
      <c r="K20" s="4" t="s">
        <v>30</v>
      </c>
    </row>
    <row r="21" spans="1:11" ht="30" customHeight="1">
      <c r="A21" s="1" t="s">
        <v>48</v>
      </c>
      <c r="B21" s="4"/>
      <c r="C21" s="4" t="s">
        <v>33</v>
      </c>
      <c r="D21" s="5">
        <f t="shared" si="0"/>
        <v>44</v>
      </c>
      <c r="E21" s="6">
        <v>7902.3642489977383</v>
      </c>
      <c r="F21" s="6">
        <f t="shared" si="1"/>
        <v>7961.3372717660222</v>
      </c>
      <c r="G21" s="7">
        <v>662626.72740228579</v>
      </c>
      <c r="H21" s="7">
        <v>1520685.6770435134</v>
      </c>
      <c r="I21" s="7">
        <v>192.81423802211259</v>
      </c>
      <c r="J21" s="7">
        <v>0</v>
      </c>
      <c r="K21" s="4" t="s">
        <v>17</v>
      </c>
    </row>
    <row r="22" spans="1:11" ht="30" customHeight="1">
      <c r="A22" s="1" t="s">
        <v>49</v>
      </c>
      <c r="B22" s="4" t="s">
        <v>50</v>
      </c>
      <c r="C22" s="4" t="s">
        <v>21</v>
      </c>
      <c r="D22" s="5">
        <f t="shared" si="0"/>
        <v>43</v>
      </c>
      <c r="E22" s="6">
        <v>7961.3372717660222</v>
      </c>
      <c r="F22" s="6">
        <f t="shared" si="1"/>
        <v>7979.3372717660222</v>
      </c>
      <c r="G22" s="7">
        <v>662613.64772385778</v>
      </c>
      <c r="H22" s="7">
        <v>1520628.1727877869</v>
      </c>
      <c r="I22" s="7">
        <v>192.81423802211259</v>
      </c>
      <c r="J22" s="7">
        <v>215</v>
      </c>
      <c r="K22" s="4" t="s">
        <v>22</v>
      </c>
    </row>
    <row r="23" spans="1:11" ht="30" customHeight="1">
      <c r="A23" s="1" t="s">
        <v>51</v>
      </c>
      <c r="B23" s="4"/>
      <c r="C23" s="4" t="s">
        <v>25</v>
      </c>
      <c r="D23" s="5">
        <f t="shared" si="0"/>
        <v>42</v>
      </c>
      <c r="E23" s="6">
        <v>7979.3372717660222</v>
      </c>
      <c r="F23" s="6">
        <f t="shared" si="1"/>
        <v>8000.8239495378812</v>
      </c>
      <c r="G23" s="7">
        <v>662609.4113123857</v>
      </c>
      <c r="H23" s="7">
        <v>1520610.6798647859</v>
      </c>
      <c r="I23" s="7">
        <v>195.21266587004138</v>
      </c>
      <c r="J23" s="7">
        <v>215</v>
      </c>
      <c r="K23" s="4" t="s">
        <v>26</v>
      </c>
    </row>
    <row r="24" spans="1:11" ht="30" customHeight="1">
      <c r="A24" s="1" t="s">
        <v>52</v>
      </c>
      <c r="B24" s="4"/>
      <c r="C24" s="4" t="s">
        <v>29</v>
      </c>
      <c r="D24" s="5">
        <f t="shared" si="0"/>
        <v>41</v>
      </c>
      <c r="E24" s="6">
        <v>8000.8239495378812</v>
      </c>
      <c r="F24" s="6">
        <f t="shared" si="1"/>
        <v>8018.8239495378812</v>
      </c>
      <c r="G24" s="7">
        <v>662602.74735226808</v>
      </c>
      <c r="H24" s="7">
        <v>1520590.2621070575</v>
      </c>
      <c r="I24" s="7">
        <v>200.9386938990493</v>
      </c>
      <c r="J24" s="7">
        <v>215</v>
      </c>
      <c r="K24" s="4" t="s">
        <v>30</v>
      </c>
    </row>
    <row r="25" spans="1:11" ht="30" customHeight="1">
      <c r="A25" s="1" t="s">
        <v>53</v>
      </c>
      <c r="B25" s="4"/>
      <c r="C25" s="4" t="s">
        <v>33</v>
      </c>
      <c r="D25" s="5">
        <f t="shared" si="0"/>
        <v>40</v>
      </c>
      <c r="E25" s="6">
        <v>8018.8239495378812</v>
      </c>
      <c r="F25" s="6">
        <f t="shared" si="1"/>
        <v>8018.8240018921424</v>
      </c>
      <c r="G25" s="7">
        <v>662595.8486597829</v>
      </c>
      <c r="H25" s="7">
        <v>1520573.63810095</v>
      </c>
      <c r="I25" s="7">
        <v>203.33712174697808</v>
      </c>
      <c r="J25" s="7">
        <v>0</v>
      </c>
      <c r="K25" s="4" t="s">
        <v>17</v>
      </c>
    </row>
    <row r="26" spans="1:11" ht="30" customHeight="1">
      <c r="A26" s="1" t="s">
        <v>54</v>
      </c>
      <c r="B26" s="4" t="s">
        <v>55</v>
      </c>
      <c r="C26" s="4" t="s">
        <v>21</v>
      </c>
      <c r="D26" s="5">
        <f t="shared" si="0"/>
        <v>39</v>
      </c>
      <c r="E26" s="6">
        <v>8018.8240018921424</v>
      </c>
      <c r="F26" s="6">
        <f t="shared" si="1"/>
        <v>8036.8240018921424</v>
      </c>
      <c r="G26" s="7">
        <v>662595.8486364783</v>
      </c>
      <c r="H26" s="7">
        <v>1520573.6380539855</v>
      </c>
      <c r="I26" s="7">
        <v>203.33712174697808</v>
      </c>
      <c r="J26" s="7">
        <v>-215</v>
      </c>
      <c r="K26" s="4" t="s">
        <v>22</v>
      </c>
    </row>
    <row r="27" spans="1:11" ht="30" customHeight="1">
      <c r="A27" s="1" t="s">
        <v>56</v>
      </c>
      <c r="B27" s="4"/>
      <c r="C27" s="4" t="s">
        <v>25</v>
      </c>
      <c r="D27" s="5">
        <f t="shared" si="0"/>
        <v>38</v>
      </c>
      <c r="E27" s="6">
        <v>8036.8240018921424</v>
      </c>
      <c r="F27" s="6">
        <f t="shared" si="1"/>
        <v>8055.187135067189</v>
      </c>
      <c r="G27" s="7">
        <v>662588.94994399312</v>
      </c>
      <c r="H27" s="7">
        <v>1520557.0140478781</v>
      </c>
      <c r="I27" s="7">
        <v>200.9386938990493</v>
      </c>
      <c r="J27" s="7">
        <v>-215</v>
      </c>
      <c r="K27" s="4" t="s">
        <v>26</v>
      </c>
    </row>
    <row r="28" spans="1:11" ht="30" customHeight="1">
      <c r="A28" s="1" t="s">
        <v>57</v>
      </c>
      <c r="B28" s="4"/>
      <c r="C28" s="4" t="s">
        <v>29</v>
      </c>
      <c r="D28" s="5">
        <f t="shared" si="0"/>
        <v>37</v>
      </c>
      <c r="E28" s="6">
        <v>8055.187135067189</v>
      </c>
      <c r="F28" s="6">
        <f t="shared" si="1"/>
        <v>8073.187135067189</v>
      </c>
      <c r="G28" s="7">
        <v>662583.12747502641</v>
      </c>
      <c r="H28" s="7">
        <v>1520539.6043213806</v>
      </c>
      <c r="I28" s="7">
        <v>196.04506551610899</v>
      </c>
      <c r="J28" s="7">
        <v>-215</v>
      </c>
      <c r="K28" s="4" t="s">
        <v>30</v>
      </c>
    </row>
    <row r="29" spans="1:11" ht="30" customHeight="1">
      <c r="A29" s="1" t="s">
        <v>58</v>
      </c>
      <c r="B29" s="4"/>
      <c r="C29" s="4" t="s">
        <v>33</v>
      </c>
      <c r="D29" s="5">
        <f t="shared" si="0"/>
        <v>36</v>
      </c>
      <c r="E29" s="6">
        <v>8073.187135067189</v>
      </c>
      <c r="F29" s="6">
        <f t="shared" si="1"/>
        <v>8275.8468033955614</v>
      </c>
      <c r="G29" s="7">
        <v>662578.63738038123</v>
      </c>
      <c r="H29" s="7">
        <v>1520522.1747893342</v>
      </c>
      <c r="I29" s="7">
        <v>193.6466376681802</v>
      </c>
      <c r="J29" s="7">
        <v>0</v>
      </c>
      <c r="K29" s="4" t="s">
        <v>17</v>
      </c>
    </row>
    <row r="30" spans="1:11" ht="30" customHeight="1">
      <c r="A30" s="1" t="s">
        <v>59</v>
      </c>
      <c r="B30" s="4" t="s">
        <v>60</v>
      </c>
      <c r="C30" s="4" t="s">
        <v>61</v>
      </c>
      <c r="D30" s="5">
        <f t="shared" si="0"/>
        <v>35</v>
      </c>
      <c r="E30" s="6">
        <v>8275.8468033955614</v>
      </c>
      <c r="F30" s="6">
        <f t="shared" si="1"/>
        <v>8314.7883491453722</v>
      </c>
      <c r="G30" s="7">
        <v>662530.82323342899</v>
      </c>
      <c r="H30" s="7">
        <v>1520325.2363509373</v>
      </c>
      <c r="I30" s="7">
        <v>193.6466376681802</v>
      </c>
      <c r="J30" s="7">
        <v>-750</v>
      </c>
      <c r="K30" s="4" t="s">
        <v>26</v>
      </c>
    </row>
    <row r="31" spans="1:11" ht="30" customHeight="1">
      <c r="A31" s="1" t="s">
        <v>62</v>
      </c>
      <c r="B31" s="4"/>
      <c r="C31" s="4" t="s">
        <v>63</v>
      </c>
      <c r="D31" s="5">
        <f t="shared" si="0"/>
        <v>34</v>
      </c>
      <c r="E31" s="6">
        <v>8314.7883491453722</v>
      </c>
      <c r="F31" s="6">
        <f t="shared" si="1"/>
        <v>8370.0670298726436</v>
      </c>
      <c r="G31" s="7">
        <v>662522.62196055369</v>
      </c>
      <c r="H31" s="7">
        <v>1520287.1726877217</v>
      </c>
      <c r="I31" s="7">
        <v>190.67172268622906</v>
      </c>
      <c r="J31" s="7">
        <v>0</v>
      </c>
      <c r="K31" s="4" t="s">
        <v>17</v>
      </c>
    </row>
    <row r="32" spans="1:11" ht="30" customHeight="1">
      <c r="A32" s="1" t="s">
        <v>64</v>
      </c>
      <c r="B32" s="4" t="s">
        <v>65</v>
      </c>
      <c r="C32" s="4" t="s">
        <v>21</v>
      </c>
      <c r="D32" s="5">
        <f t="shared" si="0"/>
        <v>33</v>
      </c>
      <c r="E32" s="6">
        <v>8370.0670298726436</v>
      </c>
      <c r="F32" s="6">
        <f t="shared" si="1"/>
        <v>8390.0670298726436</v>
      </c>
      <c r="G32" s="7">
        <v>662512.38536128891</v>
      </c>
      <c r="H32" s="7">
        <v>1520232.8500904122</v>
      </c>
      <c r="I32" s="7">
        <v>190.67172268622906</v>
      </c>
      <c r="J32" s="7">
        <v>620</v>
      </c>
      <c r="K32" s="4" t="s">
        <v>22</v>
      </c>
    </row>
    <row r="33" spans="1:11" ht="30" customHeight="1">
      <c r="A33" s="1" t="s">
        <v>66</v>
      </c>
      <c r="B33" s="4"/>
      <c r="C33" s="4" t="s">
        <v>25</v>
      </c>
      <c r="D33" s="5">
        <f t="shared" si="0"/>
        <v>32</v>
      </c>
      <c r="E33" s="6">
        <v>8390.0670298726436</v>
      </c>
      <c r="F33" s="6">
        <f t="shared" si="1"/>
        <v>8416.265949351684</v>
      </c>
      <c r="G33" s="7">
        <v>662508.57616014127</v>
      </c>
      <c r="H33" s="7">
        <v>1520213.216427047</v>
      </c>
      <c r="I33" s="7">
        <v>191.59584811150629</v>
      </c>
      <c r="J33" s="7">
        <v>620</v>
      </c>
      <c r="K33" s="4" t="s">
        <v>26</v>
      </c>
    </row>
    <row r="34" spans="1:11" ht="30" customHeight="1">
      <c r="A34" s="1" t="s">
        <v>67</v>
      </c>
      <c r="B34" s="4"/>
      <c r="C34" s="4" t="s">
        <v>29</v>
      </c>
      <c r="D34" s="5">
        <f t="shared" si="0"/>
        <v>31</v>
      </c>
      <c r="E34" s="6">
        <v>8416.265949351684</v>
      </c>
      <c r="F34" s="6">
        <f t="shared" si="1"/>
        <v>8436.265949351684</v>
      </c>
      <c r="G34" s="7">
        <v>662502.7694067437</v>
      </c>
      <c r="H34" s="7">
        <v>1520187.6711169244</v>
      </c>
      <c r="I34" s="7">
        <v>194.01695713952995</v>
      </c>
      <c r="J34" s="7">
        <v>620</v>
      </c>
      <c r="K34" s="4" t="s">
        <v>30</v>
      </c>
    </row>
    <row r="35" spans="1:11" ht="30" customHeight="1">
      <c r="A35" s="1" t="s">
        <v>68</v>
      </c>
      <c r="B35" s="4"/>
      <c r="C35" s="4" t="s">
        <v>33</v>
      </c>
      <c r="D35" s="5">
        <f t="shared" si="0"/>
        <v>30</v>
      </c>
      <c r="E35" s="6">
        <v>8436.265949351684</v>
      </c>
      <c r="F35" s="6">
        <f t="shared" si="1"/>
        <v>8509.0428849791551</v>
      </c>
      <c r="G35" s="7">
        <v>662497.71691814542</v>
      </c>
      <c r="H35" s="7">
        <v>1520168.3200676148</v>
      </c>
      <c r="I35" s="7">
        <v>194.94108256480718</v>
      </c>
      <c r="J35" s="7">
        <v>0</v>
      </c>
      <c r="K35" s="4" t="s">
        <v>17</v>
      </c>
    </row>
    <row r="36" spans="1:11" ht="30" customHeight="1">
      <c r="A36" s="1" t="s">
        <v>69</v>
      </c>
      <c r="B36" s="4" t="s">
        <v>70</v>
      </c>
      <c r="C36" s="4" t="s">
        <v>21</v>
      </c>
      <c r="D36" s="5">
        <f t="shared" si="0"/>
        <v>29</v>
      </c>
      <c r="E36" s="6">
        <v>8509.0428849791551</v>
      </c>
      <c r="F36" s="6">
        <f t="shared" si="1"/>
        <v>8559.0428849791551</v>
      </c>
      <c r="G36" s="7">
        <v>662478.95315304922</v>
      </c>
      <c r="H36" s="7">
        <v>1520098.0036152103</v>
      </c>
      <c r="I36" s="7">
        <v>194.94108256480718</v>
      </c>
      <c r="J36" s="7">
        <v>245</v>
      </c>
      <c r="K36" s="4" t="s">
        <v>22</v>
      </c>
    </row>
    <row r="37" spans="1:11" ht="30" customHeight="1">
      <c r="A37" s="1" t="s">
        <v>71</v>
      </c>
      <c r="B37" s="4"/>
      <c r="C37" s="4" t="s">
        <v>25</v>
      </c>
      <c r="D37" s="5">
        <f t="shared" si="0"/>
        <v>28</v>
      </c>
      <c r="E37" s="6">
        <v>8559.0428849791551</v>
      </c>
      <c r="F37" s="6">
        <f t="shared" si="1"/>
        <v>8585.8750140794491</v>
      </c>
      <c r="G37" s="7">
        <v>662464.43332740897</v>
      </c>
      <c r="H37" s="7">
        <v>1520050.1824720583</v>
      </c>
      <c r="I37" s="7">
        <v>200.78759035737733</v>
      </c>
      <c r="J37" s="7">
        <v>245</v>
      </c>
      <c r="K37" s="4" t="s">
        <v>26</v>
      </c>
    </row>
    <row r="38" spans="1:11" ht="30" customHeight="1">
      <c r="A38" s="1" t="s">
        <v>72</v>
      </c>
      <c r="B38" s="4"/>
      <c r="C38" s="4" t="s">
        <v>29</v>
      </c>
      <c r="D38" s="5">
        <f t="shared" si="0"/>
        <v>27</v>
      </c>
      <c r="E38" s="6">
        <v>8585.8750140794491</v>
      </c>
      <c r="F38" s="6">
        <f t="shared" si="1"/>
        <v>8635.8750140794491</v>
      </c>
      <c r="G38" s="7">
        <v>662453.55721881823</v>
      </c>
      <c r="H38" s="7">
        <v>1520025.6681073885</v>
      </c>
      <c r="I38" s="7">
        <v>207.06256155816271</v>
      </c>
      <c r="J38" s="7">
        <v>245</v>
      </c>
      <c r="K38" s="4" t="s">
        <v>30</v>
      </c>
    </row>
    <row r="39" spans="1:11" ht="30" customHeight="1">
      <c r="A39" s="1" t="s">
        <v>73</v>
      </c>
      <c r="B39" s="4"/>
      <c r="C39" s="4" t="s">
        <v>33</v>
      </c>
      <c r="D39" s="5">
        <f t="shared" si="0"/>
        <v>26</v>
      </c>
      <c r="E39" s="6">
        <v>8635.8750140794491</v>
      </c>
      <c r="F39" s="6">
        <f t="shared" si="1"/>
        <v>8968.273435321109</v>
      </c>
      <c r="G39" s="7">
        <v>662427.84684173099</v>
      </c>
      <c r="H39" s="7">
        <v>1519982.8117942612</v>
      </c>
      <c r="I39" s="7">
        <v>212.90906935073286</v>
      </c>
      <c r="J39" s="7">
        <v>0</v>
      </c>
      <c r="K39" s="4" t="s">
        <v>17</v>
      </c>
    </row>
    <row r="40" spans="1:11" ht="30" customHeight="1">
      <c r="A40" s="1" t="s">
        <v>74</v>
      </c>
      <c r="B40" s="4" t="s">
        <v>75</v>
      </c>
      <c r="C40" s="4" t="s">
        <v>21</v>
      </c>
      <c r="D40" s="5">
        <f t="shared" si="0"/>
        <v>25</v>
      </c>
      <c r="E40" s="6">
        <v>8968.273435321109</v>
      </c>
      <c r="F40" s="6">
        <f t="shared" si="1"/>
        <v>9008.273435321109</v>
      </c>
      <c r="G40" s="7">
        <v>662247.25232190406</v>
      </c>
      <c r="H40" s="7">
        <v>1519703.7520697354</v>
      </c>
      <c r="I40" s="7">
        <v>212.90906935073286</v>
      </c>
      <c r="J40" s="7">
        <v>-280</v>
      </c>
      <c r="K40" s="4" t="s">
        <v>22</v>
      </c>
    </row>
    <row r="41" spans="1:11" ht="30" customHeight="1">
      <c r="A41" s="1" t="s">
        <v>76</v>
      </c>
      <c r="B41" s="4"/>
      <c r="C41" s="4" t="s">
        <v>25</v>
      </c>
      <c r="D41" s="5">
        <f t="shared" si="0"/>
        <v>24</v>
      </c>
      <c r="E41" s="6">
        <v>9008.273435321109</v>
      </c>
      <c r="F41" s="6">
        <f t="shared" si="1"/>
        <v>9066.8498928698264</v>
      </c>
      <c r="G41" s="7">
        <v>662226.33037904894</v>
      </c>
      <c r="H41" s="7">
        <v>1519669.6705964152</v>
      </c>
      <c r="I41" s="7">
        <v>208.81651389593375</v>
      </c>
      <c r="J41" s="7">
        <v>-280</v>
      </c>
      <c r="K41" s="4" t="s">
        <v>26</v>
      </c>
    </row>
    <row r="42" spans="1:11" ht="30" customHeight="1">
      <c r="A42" s="1" t="s">
        <v>77</v>
      </c>
      <c r="B42" s="4"/>
      <c r="C42" s="4" t="s">
        <v>29</v>
      </c>
      <c r="D42" s="5">
        <f t="shared" si="0"/>
        <v>23</v>
      </c>
      <c r="E42" s="6">
        <v>9066.8498928698264</v>
      </c>
      <c r="F42" s="6">
        <f t="shared" si="1"/>
        <v>9106.8498928698264</v>
      </c>
      <c r="G42" s="7">
        <v>662203.65051680419</v>
      </c>
      <c r="H42" s="7">
        <v>1519615.7787649445</v>
      </c>
      <c r="I42" s="7">
        <v>196.83014258894767</v>
      </c>
      <c r="J42" s="7">
        <v>-280</v>
      </c>
      <c r="K42" s="4" t="s">
        <v>30</v>
      </c>
    </row>
    <row r="43" spans="1:11" ht="30" customHeight="1">
      <c r="A43" s="1" t="s">
        <v>78</v>
      </c>
      <c r="B43" s="4"/>
      <c r="C43" s="4" t="s">
        <v>33</v>
      </c>
      <c r="D43" s="5">
        <f t="shared" si="0"/>
        <v>22</v>
      </c>
      <c r="E43" s="6">
        <v>9106.8498928698264</v>
      </c>
      <c r="F43" s="6">
        <f t="shared" si="1"/>
        <v>9132.0377407401102</v>
      </c>
      <c r="G43" s="7">
        <v>662193.90696692758</v>
      </c>
      <c r="H43" s="7">
        <v>1519576.9929717444</v>
      </c>
      <c r="I43" s="7">
        <v>192.73758713414855</v>
      </c>
      <c r="J43" s="7">
        <v>0</v>
      </c>
      <c r="K43" s="4" t="s">
        <v>17</v>
      </c>
    </row>
    <row r="44" spans="1:11" ht="30" customHeight="1">
      <c r="A44" s="1" t="s">
        <v>79</v>
      </c>
      <c r="B44" s="4" t="s">
        <v>80</v>
      </c>
      <c r="C44" s="4" t="s">
        <v>21</v>
      </c>
      <c r="D44" s="5">
        <f t="shared" si="0"/>
        <v>21</v>
      </c>
      <c r="E44" s="6">
        <v>9132.0377407401102</v>
      </c>
      <c r="F44" s="6">
        <f t="shared" si="1"/>
        <v>9172.0377407401102</v>
      </c>
      <c r="G44" s="7">
        <v>662188.35338891053</v>
      </c>
      <c r="H44" s="7">
        <v>1519552.4249956058</v>
      </c>
      <c r="I44" s="7">
        <v>192.73758713414855</v>
      </c>
      <c r="J44" s="7">
        <v>280</v>
      </c>
      <c r="K44" s="4" t="s">
        <v>22</v>
      </c>
    </row>
    <row r="45" spans="1:11" ht="30" customHeight="1">
      <c r="A45" s="1" t="s">
        <v>81</v>
      </c>
      <c r="B45" s="4"/>
      <c r="C45" s="4" t="s">
        <v>25</v>
      </c>
      <c r="D45" s="5">
        <f t="shared" si="0"/>
        <v>20</v>
      </c>
      <c r="E45" s="6">
        <v>9172.0377407401102</v>
      </c>
      <c r="F45" s="6">
        <f t="shared" si="1"/>
        <v>9305.8105857361552</v>
      </c>
      <c r="G45" s="7">
        <v>662178.60983903392</v>
      </c>
      <c r="H45" s="7">
        <v>1519513.6392024057</v>
      </c>
      <c r="I45" s="7">
        <v>196.83014258894767</v>
      </c>
      <c r="J45" s="7">
        <v>280</v>
      </c>
      <c r="K45" s="4" t="s">
        <v>26</v>
      </c>
    </row>
    <row r="46" spans="1:11" ht="30" customHeight="1">
      <c r="A46" s="1" t="s">
        <v>82</v>
      </c>
      <c r="B46" s="4"/>
      <c r="C46" s="4" t="s">
        <v>29</v>
      </c>
      <c r="D46" s="5">
        <f t="shared" si="0"/>
        <v>19</v>
      </c>
      <c r="E46" s="6">
        <v>9305.8105857361552</v>
      </c>
      <c r="F46" s="6">
        <f t="shared" si="1"/>
        <v>9345.8105857361552</v>
      </c>
      <c r="G46" s="7">
        <v>662111.32507465221</v>
      </c>
      <c r="H46" s="7">
        <v>1519399.4896267862</v>
      </c>
      <c r="I46" s="7">
        <v>224.20378414142354</v>
      </c>
      <c r="J46" s="7">
        <v>280</v>
      </c>
      <c r="K46" s="4" t="s">
        <v>30</v>
      </c>
    </row>
    <row r="47" spans="1:11" ht="30" customHeight="1">
      <c r="A47" s="1" t="s">
        <v>83</v>
      </c>
      <c r="B47" s="4"/>
      <c r="C47" s="4" t="s">
        <v>33</v>
      </c>
      <c r="D47" s="5">
        <f t="shared" si="0"/>
        <v>18</v>
      </c>
      <c r="E47" s="6">
        <v>9345.8105857361552</v>
      </c>
      <c r="F47" s="6">
        <f t="shared" si="1"/>
        <v>9372.8740936811646</v>
      </c>
      <c r="G47" s="7">
        <v>662082.1098485603</v>
      </c>
      <c r="H47" s="7">
        <v>1519372.1812932431</v>
      </c>
      <c r="I47" s="7">
        <v>228.29633959622265</v>
      </c>
      <c r="J47" s="7">
        <v>0</v>
      </c>
      <c r="K47" s="4" t="s">
        <v>17</v>
      </c>
    </row>
    <row r="48" spans="1:11" ht="30" customHeight="1">
      <c r="A48" s="1" t="s">
        <v>84</v>
      </c>
      <c r="B48" s="4" t="s">
        <v>85</v>
      </c>
      <c r="C48" s="4" t="s">
        <v>21</v>
      </c>
      <c r="D48" s="5">
        <f t="shared" si="0"/>
        <v>17</v>
      </c>
      <c r="E48" s="6">
        <v>9372.8740936811646</v>
      </c>
      <c r="F48" s="6">
        <f t="shared" si="1"/>
        <v>9422.8740936811646</v>
      </c>
      <c r="G48" s="7">
        <v>662061.90433954704</v>
      </c>
      <c r="H48" s="7">
        <v>1519354.1765475408</v>
      </c>
      <c r="I48" s="7">
        <v>228.29633959622265</v>
      </c>
      <c r="J48" s="7">
        <v>-450</v>
      </c>
      <c r="K48" s="4" t="s">
        <v>22</v>
      </c>
    </row>
    <row r="49" spans="1:11" ht="30" customHeight="1">
      <c r="A49" s="1" t="s">
        <v>86</v>
      </c>
      <c r="B49" s="4"/>
      <c r="C49" s="4" t="s">
        <v>25</v>
      </c>
      <c r="D49" s="5">
        <f t="shared" si="0"/>
        <v>16</v>
      </c>
      <c r="E49" s="6">
        <v>9422.8740936811646</v>
      </c>
      <c r="F49" s="6">
        <f t="shared" si="1"/>
        <v>9492.6123664099578</v>
      </c>
      <c r="G49" s="7">
        <v>662025.20193881437</v>
      </c>
      <c r="H49" s="7">
        <v>1519320.2317690186</v>
      </c>
      <c r="I49" s="7">
        <v>225.11324090915667</v>
      </c>
      <c r="J49" s="7">
        <v>-450</v>
      </c>
      <c r="K49" s="4" t="s">
        <v>26</v>
      </c>
    </row>
    <row r="50" spans="1:11" ht="30" customHeight="1">
      <c r="A50" s="1" t="s">
        <v>87</v>
      </c>
      <c r="B50" s="4"/>
      <c r="C50" s="4" t="s">
        <v>29</v>
      </c>
      <c r="D50" s="5">
        <f t="shared" si="0"/>
        <v>15</v>
      </c>
      <c r="E50" s="6">
        <v>9492.6123664099578</v>
      </c>
      <c r="F50" s="6">
        <f t="shared" si="1"/>
        <v>9542.6123664099578</v>
      </c>
      <c r="G50" s="7">
        <v>661979.79559320793</v>
      </c>
      <c r="H50" s="7">
        <v>1519267.3927253161</v>
      </c>
      <c r="I50" s="7">
        <v>216.23388777953261</v>
      </c>
      <c r="J50" s="7">
        <v>-450</v>
      </c>
      <c r="K50" s="4" t="s">
        <v>30</v>
      </c>
    </row>
    <row r="51" spans="1:11" ht="30" customHeight="1">
      <c r="A51" s="1" t="s">
        <v>88</v>
      </c>
      <c r="B51" s="4"/>
      <c r="C51" s="4" t="s">
        <v>33</v>
      </c>
      <c r="D51" s="5">
        <f t="shared" si="0"/>
        <v>14</v>
      </c>
      <c r="E51" s="6">
        <v>9542.6123664099578</v>
      </c>
      <c r="F51" s="6">
        <f t="shared" si="1"/>
        <v>9567.6124449940617</v>
      </c>
      <c r="G51" s="7">
        <v>661951.75896870089</v>
      </c>
      <c r="H51" s="7">
        <v>1519226.0011573709</v>
      </c>
      <c r="I51" s="7">
        <v>213.05078909246663</v>
      </c>
      <c r="J51" s="7">
        <v>0</v>
      </c>
      <c r="K51" s="4" t="s">
        <v>17</v>
      </c>
    </row>
    <row r="52" spans="1:11" ht="30" customHeight="1">
      <c r="A52" s="1" t="s">
        <v>89</v>
      </c>
      <c r="B52" s="4" t="s">
        <v>90</v>
      </c>
      <c r="C52" s="4" t="s">
        <v>21</v>
      </c>
      <c r="D52" s="5">
        <f t="shared" si="0"/>
        <v>13</v>
      </c>
      <c r="E52" s="6">
        <v>9567.6124449940617</v>
      </c>
      <c r="F52" s="6">
        <f t="shared" si="1"/>
        <v>9592.6124449940617</v>
      </c>
      <c r="G52" s="7">
        <v>661938.1243627019</v>
      </c>
      <c r="H52" s="7">
        <v>1519205.0464097355</v>
      </c>
      <c r="I52" s="7">
        <v>213.05078909246663</v>
      </c>
      <c r="J52" s="7">
        <v>700</v>
      </c>
      <c r="K52" s="4" t="s">
        <v>22</v>
      </c>
    </row>
    <row r="53" spans="1:11" ht="30" customHeight="1">
      <c r="A53" s="1" t="s">
        <v>91</v>
      </c>
      <c r="B53" s="4"/>
      <c r="C53" s="4" t="s">
        <v>25</v>
      </c>
      <c r="D53" s="5">
        <f t="shared" si="0"/>
        <v>12</v>
      </c>
      <c r="E53" s="6">
        <v>9592.6124449940617</v>
      </c>
      <c r="F53" s="6">
        <f t="shared" si="1"/>
        <v>9618.2924341704329</v>
      </c>
      <c r="G53" s="7">
        <v>661924.36551440007</v>
      </c>
      <c r="H53" s="7">
        <v>1519184.1735474905</v>
      </c>
      <c r="I53" s="7">
        <v>214.07392795616641</v>
      </c>
      <c r="J53" s="7">
        <v>700</v>
      </c>
      <c r="K53" s="4" t="s">
        <v>26</v>
      </c>
    </row>
    <row r="54" spans="1:11" ht="30" customHeight="1">
      <c r="A54" s="1" t="s">
        <v>92</v>
      </c>
      <c r="B54" s="4"/>
      <c r="C54" s="4" t="s">
        <v>29</v>
      </c>
      <c r="D54" s="5">
        <f t="shared" si="0"/>
        <v>11</v>
      </c>
      <c r="E54" s="6">
        <v>9618.2924341704329</v>
      </c>
      <c r="F54" s="6">
        <f t="shared" si="1"/>
        <v>9643.2924341704329</v>
      </c>
      <c r="G54" s="7">
        <v>661909.59108709346</v>
      </c>
      <c r="H54" s="7">
        <v>1519163.1710670583</v>
      </c>
      <c r="I54" s="7">
        <v>216.17586381172146</v>
      </c>
      <c r="J54" s="7">
        <v>700</v>
      </c>
      <c r="K54" s="4" t="s">
        <v>30</v>
      </c>
    </row>
    <row r="55" spans="1:11" ht="30" customHeight="1">
      <c r="A55" s="1" t="s">
        <v>93</v>
      </c>
      <c r="B55" s="4"/>
      <c r="C55" s="4" t="s">
        <v>33</v>
      </c>
      <c r="D55" s="5">
        <f t="shared" si="0"/>
        <v>10</v>
      </c>
      <c r="E55" s="6">
        <v>9643.2924341704329</v>
      </c>
      <c r="F55" s="6">
        <f t="shared" si="1"/>
        <v>9713.1414571010737</v>
      </c>
      <c r="G55" s="7">
        <v>661894.59546850319</v>
      </c>
      <c r="H55" s="7">
        <v>1519143.1682245652</v>
      </c>
      <c r="I55" s="7">
        <v>217.19900267542124</v>
      </c>
      <c r="J55" s="7">
        <v>0</v>
      </c>
      <c r="K55" s="4" t="s">
        <v>17</v>
      </c>
    </row>
    <row r="56" spans="1:11" ht="30" customHeight="1">
      <c r="A56" s="1" t="s">
        <v>94</v>
      </c>
      <c r="B56" s="4" t="s">
        <v>95</v>
      </c>
      <c r="C56" s="4" t="s">
        <v>21</v>
      </c>
      <c r="D56" s="5">
        <f t="shared" si="0"/>
        <v>9</v>
      </c>
      <c r="E56" s="6">
        <v>9713.1414571010737</v>
      </c>
      <c r="F56" s="6">
        <f t="shared" si="1"/>
        <v>9768.1414571010737</v>
      </c>
      <c r="G56" s="7">
        <v>661852.36577113776</v>
      </c>
      <c r="H56" s="7">
        <v>1519087.5306593347</v>
      </c>
      <c r="I56" s="7">
        <v>217.19900267542124</v>
      </c>
      <c r="J56" s="7">
        <v>-450</v>
      </c>
      <c r="K56" s="4" t="s">
        <v>22</v>
      </c>
    </row>
    <row r="57" spans="1:11" ht="30" customHeight="1">
      <c r="A57" s="1" t="s">
        <v>96</v>
      </c>
      <c r="B57" s="4"/>
      <c r="C57" s="4" t="s">
        <v>25</v>
      </c>
      <c r="D57" s="5">
        <f t="shared" si="0"/>
        <v>8</v>
      </c>
      <c r="E57" s="6">
        <v>9768.1414571010737</v>
      </c>
      <c r="F57" s="6">
        <f t="shared" si="1"/>
        <v>9828.8510452254632</v>
      </c>
      <c r="G57" s="7">
        <v>661820.01818209724</v>
      </c>
      <c r="H57" s="7">
        <v>1519043.0601135679</v>
      </c>
      <c r="I57" s="7">
        <v>213.69759411964867</v>
      </c>
      <c r="J57" s="7">
        <v>-450</v>
      </c>
      <c r="K57" s="4" t="s">
        <v>26</v>
      </c>
    </row>
    <row r="58" spans="1:11" ht="30" customHeight="1">
      <c r="A58" s="1" t="s">
        <v>97</v>
      </c>
      <c r="B58" s="4"/>
      <c r="C58" s="4" t="s">
        <v>29</v>
      </c>
      <c r="D58" s="5">
        <f t="shared" si="0"/>
        <v>7</v>
      </c>
      <c r="E58" s="6">
        <v>9828.8510452254632</v>
      </c>
      <c r="F58" s="6">
        <f t="shared" si="1"/>
        <v>9883.8510452254632</v>
      </c>
      <c r="G58" s="7">
        <v>661789.83993433777</v>
      </c>
      <c r="H58" s="7">
        <v>1518990.4355879133</v>
      </c>
      <c r="I58" s="7">
        <v>205.96780878657069</v>
      </c>
      <c r="J58" s="7">
        <v>-450</v>
      </c>
      <c r="K58" s="4" t="s">
        <v>30</v>
      </c>
    </row>
    <row r="59" spans="1:11" ht="30" customHeight="1">
      <c r="A59" s="1" t="s">
        <v>98</v>
      </c>
      <c r="B59" s="4"/>
      <c r="C59" s="4" t="s">
        <v>33</v>
      </c>
      <c r="D59" s="5">
        <f t="shared" si="0"/>
        <v>6</v>
      </c>
      <c r="E59" s="6">
        <v>9883.8510452254632</v>
      </c>
      <c r="F59" s="6">
        <f t="shared" si="1"/>
        <v>9908.8511107039594</v>
      </c>
      <c r="G59" s="7">
        <v>661767.79493438546</v>
      </c>
      <c r="H59" s="7">
        <v>1518940.056882713</v>
      </c>
      <c r="I59" s="7">
        <v>202.46640023079811</v>
      </c>
      <c r="J59" s="7">
        <v>0</v>
      </c>
      <c r="K59" s="4" t="s">
        <v>17</v>
      </c>
    </row>
    <row r="60" spans="1:11" ht="30" customHeight="1">
      <c r="A60" s="1" t="s">
        <v>99</v>
      </c>
      <c r="B60" s="4" t="s">
        <v>100</v>
      </c>
      <c r="C60" s="4" t="s">
        <v>21</v>
      </c>
      <c r="D60" s="5">
        <f t="shared" si="0"/>
        <v>5</v>
      </c>
      <c r="E60" s="6">
        <v>9908.8511107039594</v>
      </c>
      <c r="F60" s="6">
        <f t="shared" si="1"/>
        <v>9938.8511107039594</v>
      </c>
      <c r="G60" s="7">
        <v>661758.24136347196</v>
      </c>
      <c r="H60" s="7">
        <v>1518916.9542301223</v>
      </c>
      <c r="I60" s="7">
        <v>202.46640023079811</v>
      </c>
      <c r="J60" s="7">
        <v>-830</v>
      </c>
      <c r="K60" s="4" t="s">
        <v>22</v>
      </c>
    </row>
    <row r="61" spans="1:11" ht="30" customHeight="1">
      <c r="A61" s="1" t="s">
        <v>101</v>
      </c>
      <c r="B61" s="4"/>
      <c r="C61" s="4" t="s">
        <v>25</v>
      </c>
      <c r="D61" s="5">
        <f t="shared" si="0"/>
        <v>4</v>
      </c>
      <c r="E61" s="6">
        <v>9938.8511107039594</v>
      </c>
      <c r="F61" s="6">
        <f t="shared" si="1"/>
        <v>9969.2965992767367</v>
      </c>
      <c r="G61" s="7">
        <v>661746.94449409994</v>
      </c>
      <c r="H61" s="7">
        <v>1518889.1629614579</v>
      </c>
      <c r="I61" s="7">
        <v>201.43093439283689</v>
      </c>
      <c r="J61" s="7">
        <v>-830</v>
      </c>
      <c r="K61" s="4" t="s">
        <v>26</v>
      </c>
    </row>
    <row r="62" spans="1:11" ht="30" customHeight="1">
      <c r="A62" s="1" t="s">
        <v>102</v>
      </c>
      <c r="B62" s="4"/>
      <c r="C62" s="4" t="s">
        <v>29</v>
      </c>
      <c r="D62" s="5">
        <f t="shared" si="0"/>
        <v>3</v>
      </c>
      <c r="E62" s="6">
        <v>9969.2965992767367</v>
      </c>
      <c r="F62" s="6">
        <f t="shared" si="1"/>
        <v>9999.2965992767367</v>
      </c>
      <c r="G62" s="7">
        <v>661736.34255868278</v>
      </c>
      <c r="H62" s="7">
        <v>1518860.6248674204</v>
      </c>
      <c r="I62" s="7">
        <v>199.32924990893508</v>
      </c>
      <c r="J62" s="7">
        <v>-830</v>
      </c>
      <c r="K62" s="4" t="s">
        <v>30</v>
      </c>
    </row>
    <row r="63" spans="1:11" ht="30" customHeight="1">
      <c r="A63" s="1" t="s">
        <v>103</v>
      </c>
      <c r="B63" s="4"/>
      <c r="C63" s="4" t="s">
        <v>33</v>
      </c>
      <c r="D63" s="5">
        <f t="shared" si="0"/>
        <v>2</v>
      </c>
      <c r="E63" s="6">
        <v>9999.2965992767367</v>
      </c>
      <c r="F63" s="6">
        <f t="shared" si="1"/>
        <v>10324.339349976852</v>
      </c>
      <c r="G63" s="7">
        <v>661726.75459835248</v>
      </c>
      <c r="H63" s="7">
        <v>1518832.1987370374</v>
      </c>
      <c r="I63" s="7">
        <v>198.29378407097386</v>
      </c>
      <c r="J63" s="7">
        <v>0</v>
      </c>
      <c r="K63" s="4" t="s">
        <v>17</v>
      </c>
    </row>
    <row r="64" spans="1:11" ht="30" customHeight="1">
      <c r="A64" s="1" t="s">
        <v>104</v>
      </c>
      <c r="B64" s="4" t="s">
        <v>15</v>
      </c>
      <c r="C64" s="4" t="s">
        <v>105</v>
      </c>
      <c r="D64" s="5">
        <f t="shared" si="0"/>
        <v>1</v>
      </c>
      <c r="E64" s="6">
        <v>10324.339349976852</v>
      </c>
      <c r="F64" s="6">
        <f>E64+0.002</f>
        <v>10324.341349976852</v>
      </c>
      <c r="G64" s="7">
        <v>661624.72710000002</v>
      </c>
      <c r="H64" s="7">
        <v>1518523.5837999999</v>
      </c>
      <c r="I64" s="7">
        <v>198.29378407097386</v>
      </c>
      <c r="J64" s="7">
        <v>0</v>
      </c>
      <c r="K64" s="4" t="s">
        <v>17</v>
      </c>
    </row>
  </sheetData>
  <mergeCells count="2">
    <mergeCell ref="C2:E2"/>
    <mergeCell ref="B3:L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3F72-8830-4D5A-8E36-0209C552C649}">
  <sheetPr codeName="Sheet3"/>
  <dimension ref="A2:N26"/>
  <sheetViews>
    <sheetView zoomScale="70" zoomScaleNormal="70" workbookViewId="0">
      <selection activeCell="J10" sqref="J10"/>
    </sheetView>
  </sheetViews>
  <sheetFormatPr defaultRowHeight="30" customHeight="1"/>
  <cols>
    <col min="1" max="1" width="8.88671875" style="1"/>
    <col min="2" max="2" width="25.77734375" style="1" customWidth="1"/>
    <col min="3" max="4" width="15.77734375" style="1" customWidth="1"/>
    <col min="5" max="13" width="20.77734375" style="1" customWidth="1"/>
    <col min="14" max="14" width="30.77734375" style="1" customWidth="1"/>
    <col min="15" max="16384" width="8.88671875" style="1"/>
  </cols>
  <sheetData>
    <row r="2" spans="1:14" ht="30" customHeight="1">
      <c r="B2" s="2" t="s">
        <v>0</v>
      </c>
      <c r="C2" s="21" t="s">
        <v>106</v>
      </c>
      <c r="D2" s="21"/>
      <c r="E2" s="21"/>
    </row>
    <row r="3" spans="1:14" ht="40.049999999999997" customHeight="1">
      <c r="B3" s="19" t="s">
        <v>107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</row>
    <row r="4" spans="1:14" ht="30" customHeight="1">
      <c r="B4" s="2" t="s">
        <v>108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109</v>
      </c>
      <c r="H4" s="2" t="s">
        <v>110</v>
      </c>
      <c r="I4" s="2" t="s">
        <v>111</v>
      </c>
      <c r="J4" s="2" t="s">
        <v>112</v>
      </c>
      <c r="K4" s="2" t="s">
        <v>113</v>
      </c>
      <c r="L4" s="2" t="s">
        <v>114</v>
      </c>
      <c r="M4" s="2" t="s">
        <v>12</v>
      </c>
      <c r="N4" s="2" t="s">
        <v>13</v>
      </c>
    </row>
    <row r="5" spans="1:14" ht="30" customHeight="1">
      <c r="A5" s="1" t="s">
        <v>14</v>
      </c>
      <c r="B5" s="4" t="s">
        <v>15</v>
      </c>
      <c r="C5" s="4" t="s">
        <v>16</v>
      </c>
      <c r="D5" s="5">
        <f t="shared" ref="D5:D26" si="0">D6 + 1</f>
        <v>22</v>
      </c>
      <c r="E5" s="6">
        <v>7202.8339999999998</v>
      </c>
      <c r="F5" s="6">
        <f t="shared" ref="F5:F25" si="1">E6</f>
        <v>7235.4389000000001</v>
      </c>
      <c r="G5" s="7">
        <v>67.2</v>
      </c>
      <c r="H5" s="7">
        <v>0</v>
      </c>
      <c r="I5" s="7">
        <v>0</v>
      </c>
      <c r="J5" s="7"/>
      <c r="K5" s="7"/>
      <c r="L5" s="7"/>
      <c r="M5" s="4" t="s">
        <v>17</v>
      </c>
      <c r="N5" s="8" t="s">
        <v>115</v>
      </c>
    </row>
    <row r="6" spans="1:14" ht="30" customHeight="1">
      <c r="A6" s="1" t="s">
        <v>19</v>
      </c>
      <c r="B6" s="4" t="s">
        <v>20</v>
      </c>
      <c r="C6" s="4" t="s">
        <v>116</v>
      </c>
      <c r="D6" s="5">
        <f t="shared" si="0"/>
        <v>21</v>
      </c>
      <c r="E6" s="6">
        <v>7235.4389000000001</v>
      </c>
      <c r="F6" s="6">
        <f t="shared" si="1"/>
        <v>7325.4389000000001</v>
      </c>
      <c r="G6" s="7">
        <v>67.2</v>
      </c>
      <c r="H6" s="7">
        <v>0</v>
      </c>
      <c r="I6" s="7">
        <v>3.1602443836330272</v>
      </c>
      <c r="J6" s="7">
        <v>90</v>
      </c>
      <c r="K6" s="7">
        <v>0</v>
      </c>
      <c r="L6" s="7">
        <v>0</v>
      </c>
      <c r="M6" s="4" t="s">
        <v>117</v>
      </c>
      <c r="N6" s="8" t="s">
        <v>118</v>
      </c>
    </row>
    <row r="7" spans="1:14" ht="30" customHeight="1">
      <c r="A7" s="1" t="s">
        <v>24</v>
      </c>
      <c r="B7" s="4"/>
      <c r="C7" s="4" t="s">
        <v>119</v>
      </c>
      <c r="D7" s="5">
        <f t="shared" si="0"/>
        <v>20</v>
      </c>
      <c r="E7" s="6">
        <v>7325.4389000000001</v>
      </c>
      <c r="F7" s="6">
        <f t="shared" si="1"/>
        <v>7555.5415000000003</v>
      </c>
      <c r="G7" s="7">
        <v>68.62210997263486</v>
      </c>
      <c r="H7" s="7">
        <v>3.1602443836330272</v>
      </c>
      <c r="I7" s="7">
        <v>3.1602443836330272</v>
      </c>
      <c r="J7" s="7"/>
      <c r="K7" s="7"/>
      <c r="L7" s="7"/>
      <c r="M7" s="4" t="s">
        <v>17</v>
      </c>
      <c r="N7" s="8" t="s">
        <v>120</v>
      </c>
    </row>
    <row r="8" spans="1:14" ht="30" customHeight="1">
      <c r="A8" s="1" t="s">
        <v>121</v>
      </c>
      <c r="B8" s="4" t="s">
        <v>35</v>
      </c>
      <c r="C8" s="4" t="s">
        <v>116</v>
      </c>
      <c r="D8" s="5">
        <f t="shared" si="0"/>
        <v>19</v>
      </c>
      <c r="E8" s="6">
        <v>7555.5415000000003</v>
      </c>
      <c r="F8" s="6">
        <f t="shared" si="1"/>
        <v>7625.5415000000003</v>
      </c>
      <c r="G8" s="7">
        <v>75.893914465728443</v>
      </c>
      <c r="H8" s="7">
        <v>3.1602443836330272</v>
      </c>
      <c r="I8" s="7">
        <v>0</v>
      </c>
      <c r="J8" s="7">
        <v>70</v>
      </c>
      <c r="K8" s="7">
        <v>0</v>
      </c>
      <c r="L8" s="7">
        <v>0</v>
      </c>
      <c r="M8" s="4" t="s">
        <v>117</v>
      </c>
    </row>
    <row r="9" spans="1:14" ht="30" customHeight="1">
      <c r="A9" s="1" t="s">
        <v>122</v>
      </c>
      <c r="B9" s="4"/>
      <c r="C9" s="4" t="s">
        <v>119</v>
      </c>
      <c r="D9" s="5">
        <f t="shared" si="0"/>
        <v>18</v>
      </c>
      <c r="E9" s="6">
        <v>7625.5415000000003</v>
      </c>
      <c r="F9" s="6">
        <f t="shared" si="1"/>
        <v>7681.6205</v>
      </c>
      <c r="G9" s="7">
        <v>77</v>
      </c>
      <c r="H9" s="7">
        <v>0</v>
      </c>
      <c r="I9" s="7">
        <v>0</v>
      </c>
      <c r="J9" s="7"/>
      <c r="K9" s="7"/>
      <c r="L9" s="7"/>
      <c r="M9" s="4" t="s">
        <v>17</v>
      </c>
    </row>
    <row r="10" spans="1:14" ht="30" customHeight="1">
      <c r="A10" s="1" t="s">
        <v>123</v>
      </c>
      <c r="B10" s="4" t="s">
        <v>40</v>
      </c>
      <c r="C10" s="4" t="s">
        <v>116</v>
      </c>
      <c r="D10" s="5">
        <f t="shared" si="0"/>
        <v>17</v>
      </c>
      <c r="E10" s="6">
        <v>7681.6205</v>
      </c>
      <c r="F10" s="6">
        <f t="shared" si="1"/>
        <v>7731.6205</v>
      </c>
      <c r="G10" s="7">
        <v>77</v>
      </c>
      <c r="H10" s="7">
        <v>0</v>
      </c>
      <c r="I10" s="7">
        <v>0.77500004843750181</v>
      </c>
      <c r="J10" s="7">
        <v>50</v>
      </c>
      <c r="K10" s="7">
        <v>0</v>
      </c>
      <c r="L10" s="7">
        <v>0</v>
      </c>
      <c r="M10" s="4" t="s">
        <v>117</v>
      </c>
    </row>
    <row r="11" spans="1:14" ht="30" customHeight="1">
      <c r="A11" s="1" t="s">
        <v>124</v>
      </c>
      <c r="B11" s="4"/>
      <c r="C11" s="4" t="s">
        <v>119</v>
      </c>
      <c r="D11" s="5">
        <f t="shared" si="0"/>
        <v>16</v>
      </c>
      <c r="E11" s="6">
        <v>7731.6205</v>
      </c>
      <c r="F11" s="6">
        <f t="shared" si="1"/>
        <v>7929.6850000000004</v>
      </c>
      <c r="G11" s="7">
        <v>77.193750012109376</v>
      </c>
      <c r="H11" s="7">
        <v>0.77500004843750181</v>
      </c>
      <c r="I11" s="7">
        <v>0.77500004843750181</v>
      </c>
      <c r="J11" s="7"/>
      <c r="K11" s="7"/>
      <c r="L11" s="7"/>
      <c r="M11" s="4" t="s">
        <v>17</v>
      </c>
    </row>
    <row r="12" spans="1:14" ht="30" customHeight="1">
      <c r="A12" s="1" t="s">
        <v>125</v>
      </c>
      <c r="B12" s="4" t="s">
        <v>45</v>
      </c>
      <c r="C12" s="4" t="s">
        <v>116</v>
      </c>
      <c r="D12" s="5">
        <f t="shared" si="0"/>
        <v>15</v>
      </c>
      <c r="E12" s="6">
        <v>7929.6850000000004</v>
      </c>
      <c r="F12" s="6">
        <f t="shared" si="1"/>
        <v>7999.6850000000004</v>
      </c>
      <c r="G12" s="7">
        <v>78.728749983046868</v>
      </c>
      <c r="H12" s="7">
        <v>0.77500004843750181</v>
      </c>
      <c r="I12" s="7">
        <v>0</v>
      </c>
      <c r="J12" s="7">
        <v>70</v>
      </c>
      <c r="K12" s="7">
        <v>0</v>
      </c>
      <c r="L12" s="7">
        <v>0</v>
      </c>
      <c r="M12" s="4" t="s">
        <v>117</v>
      </c>
    </row>
    <row r="13" spans="1:14" ht="30" customHeight="1">
      <c r="A13" s="1" t="s">
        <v>126</v>
      </c>
      <c r="B13" s="4"/>
      <c r="C13" s="4" t="s">
        <v>119</v>
      </c>
      <c r="D13" s="5">
        <f t="shared" si="0"/>
        <v>14</v>
      </c>
      <c r="E13" s="6">
        <v>7999.6850000000004</v>
      </c>
      <c r="F13" s="6">
        <f t="shared" si="1"/>
        <v>8370.0452999999998</v>
      </c>
      <c r="G13" s="7">
        <v>79</v>
      </c>
      <c r="H13" s="7">
        <v>0</v>
      </c>
      <c r="I13" s="7">
        <v>0</v>
      </c>
      <c r="J13" s="7"/>
      <c r="K13" s="7"/>
      <c r="L13" s="7"/>
      <c r="M13" s="4" t="s">
        <v>17</v>
      </c>
    </row>
    <row r="14" spans="1:14" ht="30" customHeight="1">
      <c r="A14" s="1" t="s">
        <v>127</v>
      </c>
      <c r="B14" s="4" t="s">
        <v>50</v>
      </c>
      <c r="C14" s="4" t="s">
        <v>116</v>
      </c>
      <c r="D14" s="5">
        <f t="shared" si="0"/>
        <v>13</v>
      </c>
      <c r="E14" s="6">
        <v>8370.0452999999998</v>
      </c>
      <c r="F14" s="6">
        <f t="shared" si="1"/>
        <v>8470.0452999999998</v>
      </c>
      <c r="G14" s="7">
        <v>79</v>
      </c>
      <c r="H14" s="7">
        <v>0</v>
      </c>
      <c r="I14" s="7">
        <v>-3.4999904130665866</v>
      </c>
      <c r="J14" s="7">
        <v>100</v>
      </c>
      <c r="K14" s="7">
        <v>0</v>
      </c>
      <c r="L14" s="7">
        <v>0</v>
      </c>
      <c r="M14" s="4" t="s">
        <v>117</v>
      </c>
    </row>
    <row r="15" spans="1:14" ht="30" customHeight="1">
      <c r="A15" s="1" t="s">
        <v>128</v>
      </c>
      <c r="B15" s="4"/>
      <c r="C15" s="4" t="s">
        <v>119</v>
      </c>
      <c r="D15" s="5">
        <f t="shared" si="0"/>
        <v>12</v>
      </c>
      <c r="E15" s="6">
        <v>8470.0452999999998</v>
      </c>
      <c r="F15" s="6">
        <f t="shared" si="1"/>
        <v>8681.4632000000001</v>
      </c>
      <c r="G15" s="7">
        <v>77.250004793466701</v>
      </c>
      <c r="H15" s="7">
        <v>-3.4999904130665866</v>
      </c>
      <c r="I15" s="7">
        <v>-3.4999904130665866</v>
      </c>
      <c r="J15" s="7"/>
      <c r="K15" s="7"/>
      <c r="L15" s="7"/>
      <c r="M15" s="4" t="s">
        <v>17</v>
      </c>
    </row>
    <row r="16" spans="1:14" ht="30" customHeight="1">
      <c r="A16" s="1" t="s">
        <v>129</v>
      </c>
      <c r="B16" s="4" t="s">
        <v>55</v>
      </c>
      <c r="C16" s="4" t="s">
        <v>116</v>
      </c>
      <c r="D16" s="5">
        <f t="shared" si="0"/>
        <v>11</v>
      </c>
      <c r="E16" s="6">
        <v>8681.4632000000001</v>
      </c>
      <c r="F16" s="6">
        <f t="shared" si="1"/>
        <v>8711.4632000000001</v>
      </c>
      <c r="G16" s="7">
        <v>69.850398561959992</v>
      </c>
      <c r="H16" s="7">
        <v>-3.4999904130665866</v>
      </c>
      <c r="I16" s="7">
        <v>-2.9700089112567607</v>
      </c>
      <c r="J16" s="7">
        <v>30</v>
      </c>
      <c r="K16" s="7">
        <v>0</v>
      </c>
      <c r="L16" s="7">
        <v>0</v>
      </c>
      <c r="M16" s="4" t="s">
        <v>117</v>
      </c>
    </row>
    <row r="17" spans="1:13" ht="30" customHeight="1">
      <c r="A17" s="1" t="s">
        <v>130</v>
      </c>
      <c r="B17" s="4"/>
      <c r="C17" s="4" t="s">
        <v>119</v>
      </c>
      <c r="D17" s="5">
        <f t="shared" si="0"/>
        <v>10</v>
      </c>
      <c r="E17" s="6">
        <v>8711.4632000000001</v>
      </c>
      <c r="F17" s="6">
        <f t="shared" si="1"/>
        <v>8940.3983000000007</v>
      </c>
      <c r="G17" s="7">
        <v>68.879898663311494</v>
      </c>
      <c r="H17" s="7">
        <v>-2.9700089112567607</v>
      </c>
      <c r="I17" s="7">
        <v>-2.9700089112567607</v>
      </c>
      <c r="J17" s="7"/>
      <c r="K17" s="7"/>
      <c r="L17" s="7"/>
      <c r="M17" s="4" t="s">
        <v>17</v>
      </c>
    </row>
    <row r="18" spans="1:13" ht="30" customHeight="1">
      <c r="A18" s="1" t="s">
        <v>131</v>
      </c>
      <c r="B18" s="4" t="s">
        <v>60</v>
      </c>
      <c r="C18" s="4" t="s">
        <v>116</v>
      </c>
      <c r="D18" s="5">
        <f t="shared" si="0"/>
        <v>9</v>
      </c>
      <c r="E18" s="6">
        <v>8940.3983000000007</v>
      </c>
      <c r="F18" s="6">
        <f t="shared" si="1"/>
        <v>9070.3983000000007</v>
      </c>
      <c r="G18" s="7">
        <v>62.080505792316892</v>
      </c>
      <c r="H18" s="7">
        <v>-2.9700089112567607</v>
      </c>
      <c r="I18" s="7">
        <v>0</v>
      </c>
      <c r="J18" s="7">
        <v>130</v>
      </c>
      <c r="K18" s="7">
        <v>0</v>
      </c>
      <c r="L18" s="7">
        <v>0</v>
      </c>
      <c r="M18" s="4" t="s">
        <v>117</v>
      </c>
    </row>
    <row r="19" spans="1:13" ht="30" customHeight="1">
      <c r="A19" s="1" t="s">
        <v>132</v>
      </c>
      <c r="B19" s="4"/>
      <c r="C19" s="4" t="s">
        <v>119</v>
      </c>
      <c r="D19" s="5">
        <f t="shared" si="0"/>
        <v>8</v>
      </c>
      <c r="E19" s="6">
        <v>9070.3983000000007</v>
      </c>
      <c r="F19" s="6">
        <f t="shared" si="1"/>
        <v>9129.3547999999992</v>
      </c>
      <c r="G19" s="7">
        <v>60.15</v>
      </c>
      <c r="H19" s="7">
        <v>0</v>
      </c>
      <c r="I19" s="7">
        <v>0</v>
      </c>
      <c r="J19" s="7"/>
      <c r="K19" s="7"/>
      <c r="L19" s="7"/>
      <c r="M19" s="4" t="s">
        <v>17</v>
      </c>
    </row>
    <row r="20" spans="1:13" ht="30" customHeight="1">
      <c r="A20" s="1" t="s">
        <v>133</v>
      </c>
      <c r="B20" s="4" t="s">
        <v>65</v>
      </c>
      <c r="C20" s="4" t="s">
        <v>116</v>
      </c>
      <c r="D20" s="5">
        <f t="shared" si="0"/>
        <v>7</v>
      </c>
      <c r="E20" s="6">
        <v>9129.3547999999992</v>
      </c>
      <c r="F20" s="6">
        <f t="shared" si="1"/>
        <v>9179.3547999999992</v>
      </c>
      <c r="G20" s="7">
        <v>60.15</v>
      </c>
      <c r="H20" s="7">
        <v>0</v>
      </c>
      <c r="I20" s="7">
        <v>0.26025641296382518</v>
      </c>
      <c r="J20" s="7">
        <v>50</v>
      </c>
      <c r="K20" s="7">
        <v>0</v>
      </c>
      <c r="L20" s="7">
        <v>0</v>
      </c>
      <c r="M20" s="4" t="s">
        <v>117</v>
      </c>
    </row>
    <row r="21" spans="1:13" ht="30" customHeight="1">
      <c r="A21" s="1" t="s">
        <v>134</v>
      </c>
      <c r="B21" s="4"/>
      <c r="C21" s="4" t="s">
        <v>119</v>
      </c>
      <c r="D21" s="5">
        <f t="shared" si="0"/>
        <v>6</v>
      </c>
      <c r="E21" s="6">
        <v>9179.3547999999992</v>
      </c>
      <c r="F21" s="6">
        <f t="shared" si="1"/>
        <v>9353.6213000000007</v>
      </c>
      <c r="G21" s="7">
        <v>60.215064103240955</v>
      </c>
      <c r="H21" s="7">
        <v>0.26025641296382518</v>
      </c>
      <c r="I21" s="7">
        <v>0.26025641296382518</v>
      </c>
      <c r="J21" s="7"/>
      <c r="K21" s="7"/>
      <c r="L21" s="7"/>
      <c r="M21" s="4" t="s">
        <v>17</v>
      </c>
    </row>
    <row r="22" spans="1:13" ht="30" customHeight="1">
      <c r="A22" s="1" t="s">
        <v>135</v>
      </c>
      <c r="B22" s="4" t="s">
        <v>70</v>
      </c>
      <c r="C22" s="4" t="s">
        <v>116</v>
      </c>
      <c r="D22" s="5">
        <f t="shared" si="0"/>
        <v>5</v>
      </c>
      <c r="E22" s="6">
        <v>9353.6213000000007</v>
      </c>
      <c r="F22" s="6">
        <f t="shared" si="1"/>
        <v>9428.6213000000007</v>
      </c>
      <c r="G22" s="7">
        <v>60.668603845138563</v>
      </c>
      <c r="H22" s="7">
        <v>0.26025641296382518</v>
      </c>
      <c r="I22" s="7">
        <v>3.2799984357129457</v>
      </c>
      <c r="J22" s="7">
        <v>75</v>
      </c>
      <c r="K22" s="7">
        <v>0</v>
      </c>
      <c r="L22" s="7">
        <v>0</v>
      </c>
      <c r="M22" s="4" t="s">
        <v>117</v>
      </c>
    </row>
    <row r="23" spans="1:13" ht="30" customHeight="1">
      <c r="A23" s="1" t="s">
        <v>136</v>
      </c>
      <c r="B23" s="4"/>
      <c r="C23" s="4" t="s">
        <v>119</v>
      </c>
      <c r="D23" s="5">
        <f t="shared" si="0"/>
        <v>4</v>
      </c>
      <c r="E23" s="6">
        <v>9428.6213000000007</v>
      </c>
      <c r="F23" s="6">
        <f t="shared" si="1"/>
        <v>9944.5910999999996</v>
      </c>
      <c r="G23" s="7">
        <v>61.996199413392354</v>
      </c>
      <c r="H23" s="7">
        <v>3.2799984357129457</v>
      </c>
      <c r="I23" s="7">
        <v>3.2799984357129457</v>
      </c>
      <c r="J23" s="7"/>
      <c r="K23" s="7"/>
      <c r="L23" s="7"/>
      <c r="M23" s="4" t="s">
        <v>17</v>
      </c>
    </row>
    <row r="24" spans="1:13" ht="30" customHeight="1">
      <c r="A24" s="1" t="s">
        <v>137</v>
      </c>
      <c r="B24" s="4" t="s">
        <v>75</v>
      </c>
      <c r="C24" s="4" t="s">
        <v>116</v>
      </c>
      <c r="D24" s="5">
        <f t="shared" si="0"/>
        <v>3</v>
      </c>
      <c r="E24" s="6">
        <v>9944.5910999999996</v>
      </c>
      <c r="F24" s="6">
        <f t="shared" si="1"/>
        <v>10044.5911</v>
      </c>
      <c r="G24" s="7">
        <v>78.920000782143532</v>
      </c>
      <c r="H24" s="7">
        <v>3.2799984357129457</v>
      </c>
      <c r="I24" s="7">
        <v>0</v>
      </c>
      <c r="J24" s="7">
        <v>100</v>
      </c>
      <c r="K24" s="7">
        <v>0</v>
      </c>
      <c r="L24" s="7">
        <v>0</v>
      </c>
      <c r="M24" s="4" t="s">
        <v>117</v>
      </c>
    </row>
    <row r="25" spans="1:13" ht="30" customHeight="1">
      <c r="A25" s="1" t="s">
        <v>138</v>
      </c>
      <c r="B25" s="4"/>
      <c r="C25" s="4" t="s">
        <v>119</v>
      </c>
      <c r="D25" s="5">
        <f t="shared" si="0"/>
        <v>2</v>
      </c>
      <c r="E25" s="6">
        <v>10044.5911</v>
      </c>
      <c r="F25" s="6">
        <f t="shared" si="1"/>
        <v>10324.339400000001</v>
      </c>
      <c r="G25" s="7">
        <v>80.56</v>
      </c>
      <c r="H25" s="7">
        <v>0</v>
      </c>
      <c r="I25" s="7">
        <v>0</v>
      </c>
      <c r="J25" s="7"/>
      <c r="K25" s="7"/>
      <c r="L25" s="7"/>
      <c r="M25" s="4" t="s">
        <v>17</v>
      </c>
    </row>
    <row r="26" spans="1:13" ht="30" customHeight="1">
      <c r="A26" s="1" t="s">
        <v>139</v>
      </c>
      <c r="B26" s="4" t="s">
        <v>15</v>
      </c>
      <c r="C26" s="4" t="s">
        <v>105</v>
      </c>
      <c r="D26" s="5">
        <f t="shared" si="0"/>
        <v>1</v>
      </c>
      <c r="E26" s="6">
        <v>10324.339400000001</v>
      </c>
      <c r="F26" s="6">
        <f>E26+0.002</f>
        <v>10324.341400000001</v>
      </c>
      <c r="G26" s="7">
        <v>80.56</v>
      </c>
      <c r="H26" s="7">
        <v>0</v>
      </c>
      <c r="I26" s="7">
        <v>0</v>
      </c>
      <c r="J26" s="7"/>
      <c r="K26" s="7"/>
      <c r="L26" s="7"/>
      <c r="M26" s="4" t="s">
        <v>17</v>
      </c>
    </row>
  </sheetData>
  <mergeCells count="2">
    <mergeCell ref="C2:E2"/>
    <mergeCell ref="B3:N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DCD16-E5C3-4F87-B807-48D0113BBCE4}">
  <sheetPr codeName="Sheet5"/>
  <dimension ref="A2:J64"/>
  <sheetViews>
    <sheetView zoomScale="70" zoomScaleNormal="70" workbookViewId="0">
      <selection activeCell="H16" sqref="H16"/>
    </sheetView>
  </sheetViews>
  <sheetFormatPr defaultRowHeight="30" customHeight="1"/>
  <cols>
    <col min="1" max="1" width="8.88671875" style="1"/>
    <col min="2" max="2" width="25.77734375" style="1" customWidth="1"/>
    <col min="3" max="4" width="15.77734375" style="1" customWidth="1"/>
    <col min="5" max="8" width="20.77734375" style="1" customWidth="1"/>
    <col min="9" max="9" width="15.77734375" style="1" customWidth="1"/>
    <col min="10" max="10" width="30.77734375" style="1" customWidth="1"/>
    <col min="11" max="16384" width="8.88671875" style="1"/>
  </cols>
  <sheetData>
    <row r="2" spans="1:10" ht="30" customHeight="1">
      <c r="B2" s="2" t="s">
        <v>0</v>
      </c>
      <c r="C2" s="21" t="s">
        <v>211</v>
      </c>
      <c r="D2" s="21"/>
      <c r="E2" s="21"/>
    </row>
    <row r="3" spans="1:10" ht="40.049999999999997" customHeight="1">
      <c r="B3" s="19" t="s">
        <v>212</v>
      </c>
      <c r="C3" s="19"/>
      <c r="D3" s="19"/>
      <c r="E3" s="19"/>
      <c r="F3" s="19"/>
      <c r="G3" s="19"/>
      <c r="H3" s="19"/>
      <c r="I3" s="19"/>
      <c r="J3" s="19"/>
    </row>
    <row r="4" spans="1:10" ht="30" customHeight="1"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213</v>
      </c>
      <c r="H4" s="2" t="s">
        <v>214</v>
      </c>
      <c r="I4" s="2" t="s">
        <v>215</v>
      </c>
      <c r="J4" s="2" t="s">
        <v>13</v>
      </c>
    </row>
    <row r="5" spans="1:10" ht="30" customHeight="1">
      <c r="A5" s="1" t="s">
        <v>148</v>
      </c>
      <c r="B5" s="4" t="s">
        <v>15</v>
      </c>
      <c r="C5" s="4" t="s">
        <v>16</v>
      </c>
      <c r="D5" s="5">
        <f t="shared" ref="D5:D64" si="0">D6 + 1</f>
        <v>60</v>
      </c>
      <c r="E5" s="6">
        <v>7202.8339999999998</v>
      </c>
      <c r="F5" s="6">
        <f t="shared" ref="F5:F63" si="1">E6</f>
        <v>7280.7684697643826</v>
      </c>
      <c r="G5" s="5">
        <v>0</v>
      </c>
      <c r="H5" s="5">
        <f t="shared" ref="H5:H63" si="2">G6</f>
        <v>0</v>
      </c>
      <c r="I5" s="4" t="s">
        <v>149</v>
      </c>
      <c r="J5" s="8" t="s">
        <v>150</v>
      </c>
    </row>
    <row r="6" spans="1:10" ht="30" customHeight="1">
      <c r="A6" s="1" t="s">
        <v>19</v>
      </c>
      <c r="B6" s="4" t="s">
        <v>20</v>
      </c>
      <c r="C6" s="4" t="s">
        <v>21</v>
      </c>
      <c r="D6" s="5">
        <f t="shared" si="0"/>
        <v>59</v>
      </c>
      <c r="E6" s="6">
        <v>7280.7684697643826</v>
      </c>
      <c r="F6" s="6">
        <f t="shared" si="1"/>
        <v>7310.7684697643826</v>
      </c>
      <c r="G6" s="5">
        <v>0</v>
      </c>
      <c r="H6" s="5">
        <f t="shared" si="2"/>
        <v>75</v>
      </c>
      <c r="I6" s="4" t="s">
        <v>151</v>
      </c>
      <c r="J6" s="8" t="s">
        <v>152</v>
      </c>
    </row>
    <row r="7" spans="1:10" ht="30" customHeight="1">
      <c r="A7" s="1" t="s">
        <v>153</v>
      </c>
      <c r="B7" s="4"/>
      <c r="C7" s="4" t="s">
        <v>25</v>
      </c>
      <c r="D7" s="5">
        <f t="shared" si="0"/>
        <v>58</v>
      </c>
      <c r="E7" s="6">
        <v>7310.7684697643826</v>
      </c>
      <c r="F7" s="6">
        <f t="shared" si="1"/>
        <v>7432.4082365561835</v>
      </c>
      <c r="G7" s="5">
        <v>75</v>
      </c>
      <c r="H7" s="5">
        <f t="shared" si="2"/>
        <v>75</v>
      </c>
      <c r="I7" s="4" t="s">
        <v>149</v>
      </c>
    </row>
    <row r="8" spans="1:10" ht="30" customHeight="1">
      <c r="A8" s="1" t="s">
        <v>154</v>
      </c>
      <c r="B8" s="4"/>
      <c r="C8" s="4" t="s">
        <v>29</v>
      </c>
      <c r="D8" s="5">
        <f t="shared" si="0"/>
        <v>57</v>
      </c>
      <c r="E8" s="6">
        <v>7432.4082365561835</v>
      </c>
      <c r="F8" s="6">
        <f t="shared" si="1"/>
        <v>7462.4082365561835</v>
      </c>
      <c r="G8" s="5">
        <v>75</v>
      </c>
      <c r="H8" s="5">
        <f t="shared" si="2"/>
        <v>0</v>
      </c>
      <c r="I8" s="4" t="s">
        <v>151</v>
      </c>
    </row>
    <row r="9" spans="1:10" ht="30" customHeight="1">
      <c r="A9" s="1" t="s">
        <v>155</v>
      </c>
      <c r="B9" s="4"/>
      <c r="C9" s="4" t="s">
        <v>33</v>
      </c>
      <c r="D9" s="5">
        <f t="shared" si="0"/>
        <v>56</v>
      </c>
      <c r="E9" s="6">
        <v>7462.4082365561835</v>
      </c>
      <c r="F9" s="6">
        <f t="shared" si="1"/>
        <v>7495.4275500033864</v>
      </c>
      <c r="G9" s="5">
        <v>0</v>
      </c>
      <c r="H9" s="5">
        <f t="shared" si="2"/>
        <v>0</v>
      </c>
      <c r="I9" s="4" t="s">
        <v>149</v>
      </c>
    </row>
    <row r="10" spans="1:10" ht="30" customHeight="1">
      <c r="A10" s="1" t="s">
        <v>156</v>
      </c>
      <c r="B10" s="4" t="s">
        <v>35</v>
      </c>
      <c r="C10" s="4" t="s">
        <v>21</v>
      </c>
      <c r="D10" s="5">
        <f t="shared" si="0"/>
        <v>55</v>
      </c>
      <c r="E10" s="6">
        <v>7495.4275500033864</v>
      </c>
      <c r="F10" s="6">
        <f t="shared" si="1"/>
        <v>7520.4275500033864</v>
      </c>
      <c r="G10" s="5">
        <v>0</v>
      </c>
      <c r="H10" s="5">
        <f t="shared" si="2"/>
        <v>0</v>
      </c>
      <c r="I10" s="4" t="s">
        <v>149</v>
      </c>
    </row>
    <row r="11" spans="1:10" ht="30" customHeight="1">
      <c r="A11" s="1" t="s">
        <v>157</v>
      </c>
      <c r="B11" s="4"/>
      <c r="C11" s="4" t="s">
        <v>25</v>
      </c>
      <c r="D11" s="5">
        <f t="shared" si="0"/>
        <v>54</v>
      </c>
      <c r="E11" s="6">
        <v>7520.4275500033864</v>
      </c>
      <c r="F11" s="6">
        <f t="shared" si="1"/>
        <v>7546.1593074077082</v>
      </c>
      <c r="G11" s="5">
        <v>0</v>
      </c>
      <c r="H11" s="5">
        <f t="shared" si="2"/>
        <v>0</v>
      </c>
      <c r="I11" s="4" t="s">
        <v>149</v>
      </c>
    </row>
    <row r="12" spans="1:10" ht="30" customHeight="1">
      <c r="A12" s="1" t="s">
        <v>158</v>
      </c>
      <c r="B12" s="4"/>
      <c r="C12" s="4" t="s">
        <v>29</v>
      </c>
      <c r="D12" s="5">
        <f t="shared" si="0"/>
        <v>53</v>
      </c>
      <c r="E12" s="6">
        <v>7546.1593074077082</v>
      </c>
      <c r="F12" s="6">
        <f t="shared" si="1"/>
        <v>7571.1593074077082</v>
      </c>
      <c r="G12" s="5">
        <v>0</v>
      </c>
      <c r="H12" s="5">
        <f t="shared" si="2"/>
        <v>0</v>
      </c>
      <c r="I12" s="4" t="s">
        <v>149</v>
      </c>
    </row>
    <row r="13" spans="1:10" ht="30" customHeight="1">
      <c r="A13" s="1" t="s">
        <v>159</v>
      </c>
      <c r="B13" s="4"/>
      <c r="C13" s="4" t="s">
        <v>33</v>
      </c>
      <c r="D13" s="5">
        <f t="shared" si="0"/>
        <v>52</v>
      </c>
      <c r="E13" s="6">
        <v>7571.1593074077082</v>
      </c>
      <c r="F13" s="6">
        <f t="shared" si="1"/>
        <v>7682.3558307983403</v>
      </c>
      <c r="G13" s="5">
        <v>0</v>
      </c>
      <c r="H13" s="5">
        <f t="shared" si="2"/>
        <v>0</v>
      </c>
      <c r="I13" s="4" t="s">
        <v>149</v>
      </c>
    </row>
    <row r="14" spans="1:10" ht="30" customHeight="1">
      <c r="A14" s="1" t="s">
        <v>160</v>
      </c>
      <c r="B14" s="4" t="s">
        <v>40</v>
      </c>
      <c r="C14" s="4" t="s">
        <v>21</v>
      </c>
      <c r="D14" s="5">
        <f t="shared" si="0"/>
        <v>51</v>
      </c>
      <c r="E14" s="6">
        <v>7682.3558307983403</v>
      </c>
      <c r="F14" s="6">
        <f t="shared" si="1"/>
        <v>7707.3558307983403</v>
      </c>
      <c r="G14" s="5">
        <v>0</v>
      </c>
      <c r="H14" s="5">
        <f t="shared" si="2"/>
        <v>0</v>
      </c>
      <c r="I14" s="4" t="s">
        <v>149</v>
      </c>
    </row>
    <row r="15" spans="1:10" ht="30" customHeight="1">
      <c r="A15" s="1" t="s">
        <v>161</v>
      </c>
      <c r="B15" s="4"/>
      <c r="C15" s="4" t="s">
        <v>25</v>
      </c>
      <c r="D15" s="5">
        <f t="shared" si="0"/>
        <v>50</v>
      </c>
      <c r="E15" s="6">
        <v>7707.3558307983403</v>
      </c>
      <c r="F15" s="6">
        <f t="shared" si="1"/>
        <v>7742.2430898280754</v>
      </c>
      <c r="G15" s="5">
        <v>0</v>
      </c>
      <c r="H15" s="5">
        <f t="shared" si="2"/>
        <v>0</v>
      </c>
      <c r="I15" s="4" t="s">
        <v>149</v>
      </c>
    </row>
    <row r="16" spans="1:10" ht="30" customHeight="1">
      <c r="A16" s="1" t="s">
        <v>162</v>
      </c>
      <c r="B16" s="4"/>
      <c r="C16" s="4" t="s">
        <v>29</v>
      </c>
      <c r="D16" s="5">
        <f t="shared" si="0"/>
        <v>49</v>
      </c>
      <c r="E16" s="6">
        <v>7742.2430898280754</v>
      </c>
      <c r="F16" s="6">
        <f t="shared" si="1"/>
        <v>7767.2430898280754</v>
      </c>
      <c r="G16" s="5">
        <v>0</v>
      </c>
      <c r="H16" s="5">
        <f t="shared" si="2"/>
        <v>0</v>
      </c>
      <c r="I16" s="4" t="s">
        <v>149</v>
      </c>
    </row>
    <row r="17" spans="1:9" ht="30" customHeight="1">
      <c r="A17" s="1" t="s">
        <v>163</v>
      </c>
      <c r="B17" s="4"/>
      <c r="C17" s="4" t="s">
        <v>33</v>
      </c>
      <c r="D17" s="5">
        <f t="shared" si="0"/>
        <v>48</v>
      </c>
      <c r="E17" s="6">
        <v>7767.2430898280754</v>
      </c>
      <c r="F17" s="6">
        <f t="shared" si="1"/>
        <v>7805.1378543969158</v>
      </c>
      <c r="G17" s="5">
        <v>0</v>
      </c>
      <c r="H17" s="5">
        <f t="shared" si="2"/>
        <v>0</v>
      </c>
      <c r="I17" s="4" t="s">
        <v>149</v>
      </c>
    </row>
    <row r="18" spans="1:9" ht="30" customHeight="1">
      <c r="A18" s="1" t="s">
        <v>164</v>
      </c>
      <c r="B18" s="4" t="s">
        <v>45</v>
      </c>
      <c r="C18" s="4" t="s">
        <v>21</v>
      </c>
      <c r="D18" s="5">
        <f t="shared" si="0"/>
        <v>47</v>
      </c>
      <c r="E18" s="6">
        <v>7805.1378543969158</v>
      </c>
      <c r="F18" s="6">
        <f t="shared" si="1"/>
        <v>7830.1378543969158</v>
      </c>
      <c r="G18" s="5">
        <v>0</v>
      </c>
      <c r="H18" s="5">
        <f t="shared" si="2"/>
        <v>0</v>
      </c>
      <c r="I18" s="4" t="s">
        <v>149</v>
      </c>
    </row>
    <row r="19" spans="1:9" ht="30" customHeight="1">
      <c r="A19" s="1" t="s">
        <v>165</v>
      </c>
      <c r="B19" s="4"/>
      <c r="C19" s="4" t="s">
        <v>25</v>
      </c>
      <c r="D19" s="5">
        <f t="shared" si="0"/>
        <v>46</v>
      </c>
      <c r="E19" s="6">
        <v>7830.1378543969158</v>
      </c>
      <c r="F19" s="6">
        <f t="shared" si="1"/>
        <v>7877.3642489977383</v>
      </c>
      <c r="G19" s="5">
        <v>0</v>
      </c>
      <c r="H19" s="5">
        <f t="shared" si="2"/>
        <v>0</v>
      </c>
      <c r="I19" s="4" t="s">
        <v>149</v>
      </c>
    </row>
    <row r="20" spans="1:9" ht="30" customHeight="1">
      <c r="A20" s="1" t="s">
        <v>166</v>
      </c>
      <c r="B20" s="4"/>
      <c r="C20" s="4" t="s">
        <v>29</v>
      </c>
      <c r="D20" s="5">
        <f t="shared" si="0"/>
        <v>45</v>
      </c>
      <c r="E20" s="6">
        <v>7877.3642489977383</v>
      </c>
      <c r="F20" s="6">
        <f t="shared" si="1"/>
        <v>7902.3642489977383</v>
      </c>
      <c r="G20" s="5">
        <v>0</v>
      </c>
      <c r="H20" s="5">
        <f t="shared" si="2"/>
        <v>0</v>
      </c>
      <c r="I20" s="4" t="s">
        <v>149</v>
      </c>
    </row>
    <row r="21" spans="1:9" ht="30" customHeight="1">
      <c r="A21" s="1" t="s">
        <v>167</v>
      </c>
      <c r="B21" s="4"/>
      <c r="C21" s="4" t="s">
        <v>33</v>
      </c>
      <c r="D21" s="5">
        <f t="shared" si="0"/>
        <v>44</v>
      </c>
      <c r="E21" s="6">
        <v>7902.3642489977383</v>
      </c>
      <c r="F21" s="6">
        <f t="shared" si="1"/>
        <v>7961.3372717660222</v>
      </c>
      <c r="G21" s="5">
        <v>0</v>
      </c>
      <c r="H21" s="5">
        <f t="shared" si="2"/>
        <v>0</v>
      </c>
      <c r="I21" s="4" t="s">
        <v>149</v>
      </c>
    </row>
    <row r="22" spans="1:9" ht="30" customHeight="1">
      <c r="A22" s="1" t="s">
        <v>168</v>
      </c>
      <c r="B22" s="4" t="s">
        <v>50</v>
      </c>
      <c r="C22" s="4" t="s">
        <v>21</v>
      </c>
      <c r="D22" s="5">
        <f t="shared" si="0"/>
        <v>43</v>
      </c>
      <c r="E22" s="6">
        <v>7961.3372717660222</v>
      </c>
      <c r="F22" s="6">
        <f t="shared" si="1"/>
        <v>7979.3372717660222</v>
      </c>
      <c r="G22" s="5">
        <v>0</v>
      </c>
      <c r="H22" s="5">
        <f t="shared" si="2"/>
        <v>40</v>
      </c>
      <c r="I22" s="4" t="s">
        <v>151</v>
      </c>
    </row>
    <row r="23" spans="1:9" ht="30" customHeight="1">
      <c r="A23" s="1" t="s">
        <v>169</v>
      </c>
      <c r="B23" s="4"/>
      <c r="C23" s="4" t="s">
        <v>25</v>
      </c>
      <c r="D23" s="5">
        <f t="shared" si="0"/>
        <v>42</v>
      </c>
      <c r="E23" s="6">
        <v>7979.3372717660222</v>
      </c>
      <c r="F23" s="6">
        <f t="shared" si="1"/>
        <v>8000.8239495378812</v>
      </c>
      <c r="G23" s="5">
        <v>40</v>
      </c>
      <c r="H23" s="5">
        <f t="shared" si="2"/>
        <v>40</v>
      </c>
      <c r="I23" s="4" t="s">
        <v>149</v>
      </c>
    </row>
    <row r="24" spans="1:9" ht="30" customHeight="1">
      <c r="A24" s="1" t="s">
        <v>170</v>
      </c>
      <c r="B24" s="4"/>
      <c r="C24" s="4" t="s">
        <v>29</v>
      </c>
      <c r="D24" s="5">
        <f t="shared" si="0"/>
        <v>41</v>
      </c>
      <c r="E24" s="6">
        <v>8000.8239495378812</v>
      </c>
      <c r="F24" s="6">
        <f t="shared" si="1"/>
        <v>8018.8239495378812</v>
      </c>
      <c r="G24" s="5">
        <v>40</v>
      </c>
      <c r="H24" s="5">
        <f t="shared" si="2"/>
        <v>0</v>
      </c>
      <c r="I24" s="4" t="s">
        <v>151</v>
      </c>
    </row>
    <row r="25" spans="1:9" ht="30" customHeight="1">
      <c r="A25" s="1" t="s">
        <v>171</v>
      </c>
      <c r="B25" s="4"/>
      <c r="C25" s="4" t="s">
        <v>33</v>
      </c>
      <c r="D25" s="5">
        <f t="shared" si="0"/>
        <v>40</v>
      </c>
      <c r="E25" s="6">
        <v>8018.8239495378812</v>
      </c>
      <c r="F25" s="6">
        <f t="shared" si="1"/>
        <v>8018.8240018921424</v>
      </c>
      <c r="G25" s="5">
        <v>0</v>
      </c>
      <c r="H25" s="5">
        <f t="shared" si="2"/>
        <v>0</v>
      </c>
      <c r="I25" s="4" t="s">
        <v>149</v>
      </c>
    </row>
    <row r="26" spans="1:9" ht="30" customHeight="1">
      <c r="A26" s="1" t="s">
        <v>172</v>
      </c>
      <c r="B26" s="4" t="s">
        <v>55</v>
      </c>
      <c r="C26" s="4" t="s">
        <v>21</v>
      </c>
      <c r="D26" s="5">
        <f t="shared" si="0"/>
        <v>39</v>
      </c>
      <c r="E26" s="6">
        <v>8018.8240018921424</v>
      </c>
      <c r="F26" s="6">
        <f t="shared" si="1"/>
        <v>8036.8240018921424</v>
      </c>
      <c r="G26" s="5">
        <v>0</v>
      </c>
      <c r="H26" s="5">
        <f t="shared" si="2"/>
        <v>40</v>
      </c>
      <c r="I26" s="4" t="s">
        <v>151</v>
      </c>
    </row>
    <row r="27" spans="1:9" ht="30" customHeight="1">
      <c r="A27" s="1" t="s">
        <v>173</v>
      </c>
      <c r="B27" s="4"/>
      <c r="C27" s="4" t="s">
        <v>25</v>
      </c>
      <c r="D27" s="5">
        <f t="shared" si="0"/>
        <v>38</v>
      </c>
      <c r="E27" s="6">
        <v>8036.8240018921424</v>
      </c>
      <c r="F27" s="6">
        <f t="shared" si="1"/>
        <v>8055.187135067189</v>
      </c>
      <c r="G27" s="5">
        <v>40</v>
      </c>
      <c r="H27" s="5">
        <f t="shared" si="2"/>
        <v>40</v>
      </c>
      <c r="I27" s="4" t="s">
        <v>149</v>
      </c>
    </row>
    <row r="28" spans="1:9" ht="30" customHeight="1">
      <c r="A28" s="1" t="s">
        <v>174</v>
      </c>
      <c r="B28" s="4"/>
      <c r="C28" s="4" t="s">
        <v>29</v>
      </c>
      <c r="D28" s="5">
        <f t="shared" si="0"/>
        <v>37</v>
      </c>
      <c r="E28" s="6">
        <v>8055.187135067189</v>
      </c>
      <c r="F28" s="6">
        <f t="shared" si="1"/>
        <v>8073.187135067189</v>
      </c>
      <c r="G28" s="5">
        <v>40</v>
      </c>
      <c r="H28" s="5">
        <f t="shared" si="2"/>
        <v>0</v>
      </c>
      <c r="I28" s="4" t="s">
        <v>151</v>
      </c>
    </row>
    <row r="29" spans="1:9" ht="30" customHeight="1">
      <c r="A29" s="1" t="s">
        <v>175</v>
      </c>
      <c r="B29" s="4"/>
      <c r="C29" s="4" t="s">
        <v>33</v>
      </c>
      <c r="D29" s="5">
        <f t="shared" si="0"/>
        <v>36</v>
      </c>
      <c r="E29" s="6">
        <v>8073.187135067189</v>
      </c>
      <c r="F29" s="6">
        <f t="shared" si="1"/>
        <v>8275.8468033955614</v>
      </c>
      <c r="G29" s="5">
        <v>0</v>
      </c>
      <c r="H29" s="5">
        <f t="shared" si="2"/>
        <v>0</v>
      </c>
      <c r="I29" s="4" t="s">
        <v>149</v>
      </c>
    </row>
    <row r="30" spans="1:9" ht="30" customHeight="1">
      <c r="A30" s="1" t="s">
        <v>176</v>
      </c>
      <c r="B30" s="4" t="s">
        <v>60</v>
      </c>
      <c r="C30" s="4" t="s">
        <v>61</v>
      </c>
      <c r="D30" s="5">
        <f t="shared" si="0"/>
        <v>35</v>
      </c>
      <c r="E30" s="6">
        <v>8275.8468033955614</v>
      </c>
      <c r="F30" s="6">
        <f t="shared" si="1"/>
        <v>8314.7883491453722</v>
      </c>
      <c r="G30" s="5">
        <v>0</v>
      </c>
      <c r="H30" s="5">
        <f t="shared" si="2"/>
        <v>0</v>
      </c>
      <c r="I30" s="4" t="s">
        <v>149</v>
      </c>
    </row>
    <row r="31" spans="1:9" ht="30" customHeight="1">
      <c r="A31" s="1" t="s">
        <v>177</v>
      </c>
      <c r="B31" s="4"/>
      <c r="C31" s="4" t="s">
        <v>63</v>
      </c>
      <c r="D31" s="5">
        <f t="shared" si="0"/>
        <v>34</v>
      </c>
      <c r="E31" s="6">
        <v>8314.7883491453722</v>
      </c>
      <c r="F31" s="6">
        <f t="shared" si="1"/>
        <v>8370.0670298726436</v>
      </c>
      <c r="G31" s="5">
        <v>0</v>
      </c>
      <c r="H31" s="5">
        <f t="shared" si="2"/>
        <v>0</v>
      </c>
      <c r="I31" s="4" t="s">
        <v>149</v>
      </c>
    </row>
    <row r="32" spans="1:9" ht="30" customHeight="1">
      <c r="A32" s="1" t="s">
        <v>178</v>
      </c>
      <c r="B32" s="4" t="s">
        <v>65</v>
      </c>
      <c r="C32" s="4" t="s">
        <v>21</v>
      </c>
      <c r="D32" s="5">
        <f t="shared" si="0"/>
        <v>33</v>
      </c>
      <c r="E32" s="6">
        <v>8370.0670298726436</v>
      </c>
      <c r="F32" s="6">
        <f t="shared" si="1"/>
        <v>8390.0670298726436</v>
      </c>
      <c r="G32" s="5">
        <v>0</v>
      </c>
      <c r="H32" s="5">
        <f t="shared" si="2"/>
        <v>45</v>
      </c>
      <c r="I32" s="4" t="s">
        <v>151</v>
      </c>
    </row>
    <row r="33" spans="1:9" ht="30" customHeight="1">
      <c r="A33" s="1" t="s">
        <v>179</v>
      </c>
      <c r="B33" s="4"/>
      <c r="C33" s="4" t="s">
        <v>25</v>
      </c>
      <c r="D33" s="5">
        <f t="shared" si="0"/>
        <v>32</v>
      </c>
      <c r="E33" s="6">
        <v>8390.0670298726436</v>
      </c>
      <c r="F33" s="6">
        <f t="shared" si="1"/>
        <v>8416.265949351684</v>
      </c>
      <c r="G33" s="5">
        <v>45</v>
      </c>
      <c r="H33" s="5">
        <f t="shared" si="2"/>
        <v>45</v>
      </c>
      <c r="I33" s="4" t="s">
        <v>149</v>
      </c>
    </row>
    <row r="34" spans="1:9" ht="30" customHeight="1">
      <c r="A34" s="1" t="s">
        <v>180</v>
      </c>
      <c r="B34" s="4"/>
      <c r="C34" s="4" t="s">
        <v>29</v>
      </c>
      <c r="D34" s="5">
        <f t="shared" si="0"/>
        <v>31</v>
      </c>
      <c r="E34" s="6">
        <v>8416.265949351684</v>
      </c>
      <c r="F34" s="6">
        <f t="shared" si="1"/>
        <v>8436.265949351684</v>
      </c>
      <c r="G34" s="5">
        <v>45</v>
      </c>
      <c r="H34" s="5">
        <f t="shared" si="2"/>
        <v>0</v>
      </c>
      <c r="I34" s="4" t="s">
        <v>151</v>
      </c>
    </row>
    <row r="35" spans="1:9" ht="30" customHeight="1">
      <c r="A35" s="1" t="s">
        <v>181</v>
      </c>
      <c r="B35" s="4"/>
      <c r="C35" s="4" t="s">
        <v>33</v>
      </c>
      <c r="D35" s="5">
        <f t="shared" si="0"/>
        <v>30</v>
      </c>
      <c r="E35" s="6">
        <v>8436.265949351684</v>
      </c>
      <c r="F35" s="6">
        <f t="shared" si="1"/>
        <v>8509.0428849791551</v>
      </c>
      <c r="G35" s="5">
        <v>0</v>
      </c>
      <c r="H35" s="5">
        <f t="shared" si="2"/>
        <v>0</v>
      </c>
      <c r="I35" s="4" t="s">
        <v>149</v>
      </c>
    </row>
    <row r="36" spans="1:9" ht="30" customHeight="1">
      <c r="A36" s="1" t="s">
        <v>182</v>
      </c>
      <c r="B36" s="4" t="s">
        <v>70</v>
      </c>
      <c r="C36" s="4" t="s">
        <v>21</v>
      </c>
      <c r="D36" s="5">
        <f t="shared" si="0"/>
        <v>29</v>
      </c>
      <c r="E36" s="6">
        <v>8509.0428849791551</v>
      </c>
      <c r="F36" s="6">
        <f t="shared" si="1"/>
        <v>8559.0428849791551</v>
      </c>
      <c r="G36" s="5">
        <v>0</v>
      </c>
      <c r="H36" s="5">
        <f t="shared" si="2"/>
        <v>100</v>
      </c>
      <c r="I36" s="4" t="s">
        <v>151</v>
      </c>
    </row>
    <row r="37" spans="1:9" ht="30" customHeight="1">
      <c r="A37" s="1" t="s">
        <v>183</v>
      </c>
      <c r="B37" s="4"/>
      <c r="C37" s="4" t="s">
        <v>25</v>
      </c>
      <c r="D37" s="5">
        <f t="shared" si="0"/>
        <v>28</v>
      </c>
      <c r="E37" s="6">
        <v>8559.0428849791551</v>
      </c>
      <c r="F37" s="6">
        <f t="shared" si="1"/>
        <v>8585.8750140794491</v>
      </c>
      <c r="G37" s="5">
        <v>100</v>
      </c>
      <c r="H37" s="5">
        <f t="shared" si="2"/>
        <v>100</v>
      </c>
      <c r="I37" s="4" t="s">
        <v>149</v>
      </c>
    </row>
    <row r="38" spans="1:9" ht="30" customHeight="1">
      <c r="A38" s="1" t="s">
        <v>184</v>
      </c>
      <c r="B38" s="4"/>
      <c r="C38" s="4" t="s">
        <v>29</v>
      </c>
      <c r="D38" s="5">
        <f t="shared" si="0"/>
        <v>27</v>
      </c>
      <c r="E38" s="6">
        <v>8585.8750140794491</v>
      </c>
      <c r="F38" s="6">
        <f t="shared" si="1"/>
        <v>8635.8750140794491</v>
      </c>
      <c r="G38" s="5">
        <v>100</v>
      </c>
      <c r="H38" s="5">
        <f t="shared" si="2"/>
        <v>0</v>
      </c>
      <c r="I38" s="4" t="s">
        <v>151</v>
      </c>
    </row>
    <row r="39" spans="1:9" ht="30" customHeight="1">
      <c r="A39" s="1" t="s">
        <v>185</v>
      </c>
      <c r="B39" s="4"/>
      <c r="C39" s="4" t="s">
        <v>33</v>
      </c>
      <c r="D39" s="5">
        <f t="shared" si="0"/>
        <v>26</v>
      </c>
      <c r="E39" s="6">
        <v>8635.8750140794491</v>
      </c>
      <c r="F39" s="6">
        <f t="shared" si="1"/>
        <v>8968.273435321109</v>
      </c>
      <c r="G39" s="5">
        <v>0</v>
      </c>
      <c r="H39" s="5">
        <f t="shared" si="2"/>
        <v>0</v>
      </c>
      <c r="I39" s="4" t="s">
        <v>149</v>
      </c>
    </row>
    <row r="40" spans="1:9" ht="30" customHeight="1">
      <c r="A40" s="1" t="s">
        <v>186</v>
      </c>
      <c r="B40" s="4" t="s">
        <v>75</v>
      </c>
      <c r="C40" s="4" t="s">
        <v>21</v>
      </c>
      <c r="D40" s="5">
        <f t="shared" si="0"/>
        <v>25</v>
      </c>
      <c r="E40" s="6">
        <v>8968.273435321109</v>
      </c>
      <c r="F40" s="6">
        <f t="shared" si="1"/>
        <v>9008.273435321109</v>
      </c>
      <c r="G40" s="5">
        <v>0</v>
      </c>
      <c r="H40" s="5">
        <f t="shared" si="2"/>
        <v>90</v>
      </c>
      <c r="I40" s="4" t="s">
        <v>151</v>
      </c>
    </row>
    <row r="41" spans="1:9" ht="30" customHeight="1">
      <c r="A41" s="1" t="s">
        <v>187</v>
      </c>
      <c r="B41" s="4"/>
      <c r="C41" s="4" t="s">
        <v>25</v>
      </c>
      <c r="D41" s="5">
        <f t="shared" si="0"/>
        <v>24</v>
      </c>
      <c r="E41" s="6">
        <v>9008.273435321109</v>
      </c>
      <c r="F41" s="6">
        <f t="shared" si="1"/>
        <v>9066.8498928698264</v>
      </c>
      <c r="G41" s="5">
        <v>90</v>
      </c>
      <c r="H41" s="5">
        <f t="shared" si="2"/>
        <v>90</v>
      </c>
      <c r="I41" s="4" t="s">
        <v>149</v>
      </c>
    </row>
    <row r="42" spans="1:9" ht="30" customHeight="1">
      <c r="A42" s="1" t="s">
        <v>188</v>
      </c>
      <c r="B42" s="4"/>
      <c r="C42" s="4" t="s">
        <v>29</v>
      </c>
      <c r="D42" s="5">
        <f t="shared" si="0"/>
        <v>23</v>
      </c>
      <c r="E42" s="6">
        <v>9066.8498928698264</v>
      </c>
      <c r="F42" s="6">
        <f t="shared" si="1"/>
        <v>9106.8498928698264</v>
      </c>
      <c r="G42" s="5">
        <v>90</v>
      </c>
      <c r="H42" s="5">
        <f t="shared" si="2"/>
        <v>0</v>
      </c>
      <c r="I42" s="4" t="s">
        <v>151</v>
      </c>
    </row>
    <row r="43" spans="1:9" ht="30" customHeight="1">
      <c r="A43" s="1" t="s">
        <v>189</v>
      </c>
      <c r="B43" s="4"/>
      <c r="C43" s="4" t="s">
        <v>33</v>
      </c>
      <c r="D43" s="5">
        <f t="shared" si="0"/>
        <v>22</v>
      </c>
      <c r="E43" s="6">
        <v>9106.8498928698264</v>
      </c>
      <c r="F43" s="6">
        <f t="shared" si="1"/>
        <v>9132.0377407401102</v>
      </c>
      <c r="G43" s="5">
        <v>0</v>
      </c>
      <c r="H43" s="5">
        <f t="shared" si="2"/>
        <v>0</v>
      </c>
      <c r="I43" s="4" t="s">
        <v>149</v>
      </c>
    </row>
    <row r="44" spans="1:9" ht="30" customHeight="1">
      <c r="A44" s="1" t="s">
        <v>190</v>
      </c>
      <c r="B44" s="4" t="s">
        <v>80</v>
      </c>
      <c r="C44" s="4" t="s">
        <v>21</v>
      </c>
      <c r="D44" s="5">
        <f t="shared" si="0"/>
        <v>21</v>
      </c>
      <c r="E44" s="6">
        <v>9132.0377407401102</v>
      </c>
      <c r="F44" s="6">
        <f t="shared" si="1"/>
        <v>9172.0377407401102</v>
      </c>
      <c r="G44" s="5">
        <v>0</v>
      </c>
      <c r="H44" s="5">
        <f t="shared" si="2"/>
        <v>90</v>
      </c>
      <c r="I44" s="4" t="s">
        <v>151</v>
      </c>
    </row>
    <row r="45" spans="1:9" ht="30" customHeight="1">
      <c r="A45" s="1" t="s">
        <v>191</v>
      </c>
      <c r="B45" s="4"/>
      <c r="C45" s="4" t="s">
        <v>25</v>
      </c>
      <c r="D45" s="5">
        <f t="shared" si="0"/>
        <v>20</v>
      </c>
      <c r="E45" s="6">
        <v>9172.0377407401102</v>
      </c>
      <c r="F45" s="6">
        <f t="shared" si="1"/>
        <v>9305.8105857361552</v>
      </c>
      <c r="G45" s="5">
        <v>90</v>
      </c>
      <c r="H45" s="5">
        <f t="shared" si="2"/>
        <v>90</v>
      </c>
      <c r="I45" s="4" t="s">
        <v>149</v>
      </c>
    </row>
    <row r="46" spans="1:9" ht="30" customHeight="1">
      <c r="A46" s="1" t="s">
        <v>192</v>
      </c>
      <c r="B46" s="4"/>
      <c r="C46" s="4" t="s">
        <v>29</v>
      </c>
      <c r="D46" s="5">
        <f t="shared" si="0"/>
        <v>19</v>
      </c>
      <c r="E46" s="6">
        <v>9305.8105857361552</v>
      </c>
      <c r="F46" s="6">
        <f t="shared" si="1"/>
        <v>9345.8105857361552</v>
      </c>
      <c r="G46" s="5">
        <v>90</v>
      </c>
      <c r="H46" s="5">
        <f t="shared" si="2"/>
        <v>0</v>
      </c>
      <c r="I46" s="4" t="s">
        <v>151</v>
      </c>
    </row>
    <row r="47" spans="1:9" ht="30" customHeight="1">
      <c r="A47" s="1" t="s">
        <v>193</v>
      </c>
      <c r="B47" s="4"/>
      <c r="C47" s="4" t="s">
        <v>33</v>
      </c>
      <c r="D47" s="5">
        <f t="shared" si="0"/>
        <v>18</v>
      </c>
      <c r="E47" s="6">
        <v>9345.8105857361552</v>
      </c>
      <c r="F47" s="6">
        <f t="shared" si="1"/>
        <v>9372.8740936811646</v>
      </c>
      <c r="G47" s="5">
        <v>0</v>
      </c>
      <c r="H47" s="5">
        <f t="shared" si="2"/>
        <v>0</v>
      </c>
      <c r="I47" s="4" t="s">
        <v>149</v>
      </c>
    </row>
    <row r="48" spans="1:9" ht="30" customHeight="1">
      <c r="A48" s="1" t="s">
        <v>194</v>
      </c>
      <c r="B48" s="4" t="s">
        <v>85</v>
      </c>
      <c r="C48" s="4" t="s">
        <v>21</v>
      </c>
      <c r="D48" s="5">
        <f t="shared" si="0"/>
        <v>17</v>
      </c>
      <c r="E48" s="6">
        <v>9372.8740936811646</v>
      </c>
      <c r="F48" s="6">
        <f t="shared" si="1"/>
        <v>9422.8740936811646</v>
      </c>
      <c r="G48" s="5">
        <v>0</v>
      </c>
      <c r="H48" s="5">
        <f t="shared" si="2"/>
        <v>95</v>
      </c>
      <c r="I48" s="4" t="s">
        <v>151</v>
      </c>
    </row>
    <row r="49" spans="1:9" ht="30" customHeight="1">
      <c r="A49" s="1" t="s">
        <v>195</v>
      </c>
      <c r="B49" s="4"/>
      <c r="C49" s="4" t="s">
        <v>25</v>
      </c>
      <c r="D49" s="5">
        <f t="shared" si="0"/>
        <v>16</v>
      </c>
      <c r="E49" s="6">
        <v>9422.8740936811646</v>
      </c>
      <c r="F49" s="6">
        <f t="shared" si="1"/>
        <v>9492.6123664099578</v>
      </c>
      <c r="G49" s="5">
        <v>95</v>
      </c>
      <c r="H49" s="5">
        <f t="shared" si="2"/>
        <v>95</v>
      </c>
      <c r="I49" s="4" t="s">
        <v>149</v>
      </c>
    </row>
    <row r="50" spans="1:9" ht="30" customHeight="1">
      <c r="A50" s="1" t="s">
        <v>196</v>
      </c>
      <c r="B50" s="4"/>
      <c r="C50" s="4" t="s">
        <v>29</v>
      </c>
      <c r="D50" s="5">
        <f t="shared" si="0"/>
        <v>15</v>
      </c>
      <c r="E50" s="6">
        <v>9492.6123664099578</v>
      </c>
      <c r="F50" s="6">
        <f t="shared" si="1"/>
        <v>9542.6123664099578</v>
      </c>
      <c r="G50" s="5">
        <v>95</v>
      </c>
      <c r="H50" s="5">
        <f t="shared" si="2"/>
        <v>0</v>
      </c>
      <c r="I50" s="4" t="s">
        <v>151</v>
      </c>
    </row>
    <row r="51" spans="1:9" ht="30" customHeight="1">
      <c r="A51" s="1" t="s">
        <v>197</v>
      </c>
      <c r="B51" s="4"/>
      <c r="C51" s="4" t="s">
        <v>33</v>
      </c>
      <c r="D51" s="5">
        <f t="shared" si="0"/>
        <v>14</v>
      </c>
      <c r="E51" s="6">
        <v>9542.6123664099578</v>
      </c>
      <c r="F51" s="6">
        <f t="shared" si="1"/>
        <v>9567.6124449940617</v>
      </c>
      <c r="G51" s="5">
        <v>0</v>
      </c>
      <c r="H51" s="5">
        <f t="shared" si="2"/>
        <v>0</v>
      </c>
      <c r="I51" s="4" t="s">
        <v>149</v>
      </c>
    </row>
    <row r="52" spans="1:9" ht="30" customHeight="1">
      <c r="A52" s="1" t="s">
        <v>198</v>
      </c>
      <c r="B52" s="4" t="s">
        <v>90</v>
      </c>
      <c r="C52" s="4" t="s">
        <v>21</v>
      </c>
      <c r="D52" s="5">
        <f t="shared" si="0"/>
        <v>13</v>
      </c>
      <c r="E52" s="6">
        <v>9567.6124449940617</v>
      </c>
      <c r="F52" s="6">
        <f t="shared" si="1"/>
        <v>9592.6124449940617</v>
      </c>
      <c r="G52" s="5">
        <v>0</v>
      </c>
      <c r="H52" s="5">
        <f t="shared" si="2"/>
        <v>55</v>
      </c>
      <c r="I52" s="4" t="s">
        <v>151</v>
      </c>
    </row>
    <row r="53" spans="1:9" ht="30" customHeight="1">
      <c r="A53" s="1" t="s">
        <v>199</v>
      </c>
      <c r="B53" s="4"/>
      <c r="C53" s="4" t="s">
        <v>25</v>
      </c>
      <c r="D53" s="5">
        <f t="shared" si="0"/>
        <v>12</v>
      </c>
      <c r="E53" s="6">
        <v>9592.6124449940617</v>
      </c>
      <c r="F53" s="6">
        <f t="shared" si="1"/>
        <v>9618.2924341704329</v>
      </c>
      <c r="G53" s="5">
        <v>55</v>
      </c>
      <c r="H53" s="5">
        <f t="shared" si="2"/>
        <v>55</v>
      </c>
      <c r="I53" s="4" t="s">
        <v>149</v>
      </c>
    </row>
    <row r="54" spans="1:9" ht="30" customHeight="1">
      <c r="A54" s="1" t="s">
        <v>200</v>
      </c>
      <c r="B54" s="4"/>
      <c r="C54" s="4" t="s">
        <v>29</v>
      </c>
      <c r="D54" s="5">
        <f t="shared" si="0"/>
        <v>11</v>
      </c>
      <c r="E54" s="6">
        <v>9618.2924341704329</v>
      </c>
      <c r="F54" s="6">
        <f t="shared" si="1"/>
        <v>9643.2924341704329</v>
      </c>
      <c r="G54" s="5">
        <v>55</v>
      </c>
      <c r="H54" s="5">
        <f t="shared" si="2"/>
        <v>0</v>
      </c>
      <c r="I54" s="4" t="s">
        <v>151</v>
      </c>
    </row>
    <row r="55" spans="1:9" ht="30" customHeight="1">
      <c r="A55" s="1" t="s">
        <v>201</v>
      </c>
      <c r="B55" s="4"/>
      <c r="C55" s="4" t="s">
        <v>33</v>
      </c>
      <c r="D55" s="5">
        <f t="shared" si="0"/>
        <v>10</v>
      </c>
      <c r="E55" s="6">
        <v>9643.2924341704329</v>
      </c>
      <c r="F55" s="6">
        <f t="shared" si="1"/>
        <v>9713.1414571010737</v>
      </c>
      <c r="G55" s="5">
        <v>0</v>
      </c>
      <c r="H55" s="5">
        <f t="shared" si="2"/>
        <v>0</v>
      </c>
      <c r="I55" s="4" t="s">
        <v>149</v>
      </c>
    </row>
    <row r="56" spans="1:9" ht="30" customHeight="1">
      <c r="A56" s="1" t="s">
        <v>202</v>
      </c>
      <c r="B56" s="4" t="s">
        <v>95</v>
      </c>
      <c r="C56" s="4" t="s">
        <v>21</v>
      </c>
      <c r="D56" s="5">
        <f t="shared" si="0"/>
        <v>9</v>
      </c>
      <c r="E56" s="6">
        <v>9713.1414571010737</v>
      </c>
      <c r="F56" s="6">
        <f t="shared" si="1"/>
        <v>9768.1414571010737</v>
      </c>
      <c r="G56" s="5">
        <v>0</v>
      </c>
      <c r="H56" s="5">
        <f t="shared" si="2"/>
        <v>85</v>
      </c>
      <c r="I56" s="4" t="s">
        <v>151</v>
      </c>
    </row>
    <row r="57" spans="1:9" ht="30" customHeight="1">
      <c r="A57" s="1" t="s">
        <v>203</v>
      </c>
      <c r="B57" s="4"/>
      <c r="C57" s="4" t="s">
        <v>25</v>
      </c>
      <c r="D57" s="5">
        <f t="shared" si="0"/>
        <v>8</v>
      </c>
      <c r="E57" s="6">
        <v>9768.1414571010737</v>
      </c>
      <c r="F57" s="6">
        <f t="shared" si="1"/>
        <v>9828.8510452254632</v>
      </c>
      <c r="G57" s="5">
        <v>85</v>
      </c>
      <c r="H57" s="5">
        <f t="shared" si="2"/>
        <v>85</v>
      </c>
      <c r="I57" s="4" t="s">
        <v>149</v>
      </c>
    </row>
    <row r="58" spans="1:9" ht="30" customHeight="1">
      <c r="A58" s="1" t="s">
        <v>204</v>
      </c>
      <c r="B58" s="4"/>
      <c r="C58" s="4" t="s">
        <v>29</v>
      </c>
      <c r="D58" s="5">
        <f t="shared" si="0"/>
        <v>7</v>
      </c>
      <c r="E58" s="6">
        <v>9828.8510452254632</v>
      </c>
      <c r="F58" s="6">
        <f t="shared" si="1"/>
        <v>9883.8510452254632</v>
      </c>
      <c r="G58" s="5">
        <v>85</v>
      </c>
      <c r="H58" s="5">
        <f t="shared" si="2"/>
        <v>0</v>
      </c>
      <c r="I58" s="4" t="s">
        <v>151</v>
      </c>
    </row>
    <row r="59" spans="1:9" ht="30" customHeight="1">
      <c r="A59" s="1" t="s">
        <v>205</v>
      </c>
      <c r="B59" s="4"/>
      <c r="C59" s="4" t="s">
        <v>33</v>
      </c>
      <c r="D59" s="5">
        <f t="shared" si="0"/>
        <v>6</v>
      </c>
      <c r="E59" s="6">
        <v>9883.8510452254632</v>
      </c>
      <c r="F59" s="6">
        <f t="shared" si="1"/>
        <v>9908.8511107039594</v>
      </c>
      <c r="G59" s="5">
        <v>0</v>
      </c>
      <c r="H59" s="5">
        <f t="shared" si="2"/>
        <v>0</v>
      </c>
      <c r="I59" s="4" t="s">
        <v>149</v>
      </c>
    </row>
    <row r="60" spans="1:9" ht="30" customHeight="1">
      <c r="A60" s="1" t="s">
        <v>206</v>
      </c>
      <c r="B60" s="4" t="s">
        <v>100</v>
      </c>
      <c r="C60" s="4" t="s">
        <v>21</v>
      </c>
      <c r="D60" s="5">
        <f t="shared" si="0"/>
        <v>5</v>
      </c>
      <c r="E60" s="6">
        <v>9908.8511107039594</v>
      </c>
      <c r="F60" s="6">
        <f t="shared" si="1"/>
        <v>9938.8511107039594</v>
      </c>
      <c r="G60" s="5">
        <v>0</v>
      </c>
      <c r="H60" s="5">
        <f t="shared" si="2"/>
        <v>45</v>
      </c>
      <c r="I60" s="4" t="s">
        <v>151</v>
      </c>
    </row>
    <row r="61" spans="1:9" ht="30" customHeight="1">
      <c r="A61" s="1" t="s">
        <v>207</v>
      </c>
      <c r="B61" s="4"/>
      <c r="C61" s="4" t="s">
        <v>25</v>
      </c>
      <c r="D61" s="5">
        <f t="shared" si="0"/>
        <v>4</v>
      </c>
      <c r="E61" s="6">
        <v>9938.8511107039594</v>
      </c>
      <c r="F61" s="6">
        <f t="shared" si="1"/>
        <v>9969.2965992767367</v>
      </c>
      <c r="G61" s="5">
        <v>45</v>
      </c>
      <c r="H61" s="5">
        <f t="shared" si="2"/>
        <v>45</v>
      </c>
      <c r="I61" s="4" t="s">
        <v>149</v>
      </c>
    </row>
    <row r="62" spans="1:9" ht="30" customHeight="1">
      <c r="A62" s="1" t="s">
        <v>208</v>
      </c>
      <c r="B62" s="4"/>
      <c r="C62" s="4" t="s">
        <v>29</v>
      </c>
      <c r="D62" s="5">
        <f t="shared" si="0"/>
        <v>3</v>
      </c>
      <c r="E62" s="6">
        <v>9969.2965992767367</v>
      </c>
      <c r="F62" s="6">
        <f t="shared" si="1"/>
        <v>9999.2965992767367</v>
      </c>
      <c r="G62" s="5">
        <v>45</v>
      </c>
      <c r="H62" s="5">
        <f t="shared" si="2"/>
        <v>0</v>
      </c>
      <c r="I62" s="4" t="s">
        <v>151</v>
      </c>
    </row>
    <row r="63" spans="1:9" ht="30" customHeight="1">
      <c r="A63" s="1" t="s">
        <v>209</v>
      </c>
      <c r="B63" s="4"/>
      <c r="C63" s="4" t="s">
        <v>33</v>
      </c>
      <c r="D63" s="5">
        <f t="shared" si="0"/>
        <v>2</v>
      </c>
      <c r="E63" s="6">
        <v>9999.2965992767367</v>
      </c>
      <c r="F63" s="6">
        <f t="shared" si="1"/>
        <v>10324.339349976852</v>
      </c>
      <c r="G63" s="5">
        <v>0</v>
      </c>
      <c r="H63" s="5">
        <f t="shared" si="2"/>
        <v>0</v>
      </c>
      <c r="I63" s="4" t="s">
        <v>149</v>
      </c>
    </row>
    <row r="64" spans="1:9" ht="30" customHeight="1">
      <c r="A64" s="1" t="s">
        <v>210</v>
      </c>
      <c r="B64" s="4" t="s">
        <v>15</v>
      </c>
      <c r="C64" s="4" t="s">
        <v>105</v>
      </c>
      <c r="D64" s="5">
        <f t="shared" si="0"/>
        <v>1</v>
      </c>
      <c r="E64" s="6">
        <v>10324.339349976852</v>
      </c>
      <c r="F64" s="6">
        <f>E64+0.002</f>
        <v>10324.341349976852</v>
      </c>
      <c r="G64" s="5">
        <v>0</v>
      </c>
      <c r="H64" s="5">
        <f>G64</f>
        <v>0</v>
      </c>
      <c r="I64" s="4" t="s">
        <v>149</v>
      </c>
    </row>
  </sheetData>
  <mergeCells count="2">
    <mergeCell ref="C2:E2"/>
    <mergeCell ref="B3:J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725CE-0471-4D4D-A0D1-BDCF2CC009E6}">
  <sheetPr codeName="Sheet4"/>
  <dimension ref="A2:M64"/>
  <sheetViews>
    <sheetView zoomScale="70" zoomScaleNormal="70" workbookViewId="0">
      <selection activeCell="E7" sqref="E7"/>
    </sheetView>
  </sheetViews>
  <sheetFormatPr defaultRowHeight="30" customHeight="1"/>
  <cols>
    <col min="1" max="1" width="8.88671875" style="1"/>
    <col min="2" max="2" width="25.77734375" style="1" customWidth="1"/>
    <col min="3" max="4" width="15.77734375" style="1" customWidth="1"/>
    <col min="5" max="10" width="20.77734375" style="1" customWidth="1"/>
    <col min="11" max="12" width="15.77734375" style="1" customWidth="1"/>
    <col min="13" max="13" width="30.77734375" style="1" customWidth="1"/>
    <col min="14" max="16384" width="8.88671875" style="1"/>
  </cols>
  <sheetData>
    <row r="2" spans="1:13" ht="30" customHeight="1">
      <c r="B2" s="2" t="s">
        <v>0</v>
      </c>
      <c r="C2" s="21" t="s">
        <v>140</v>
      </c>
      <c r="D2" s="21"/>
      <c r="E2" s="21"/>
    </row>
    <row r="3" spans="1:13" ht="40.049999999999997" customHeight="1">
      <c r="B3" s="19" t="s">
        <v>141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</row>
    <row r="4" spans="1:13" ht="30" customHeight="1"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142</v>
      </c>
      <c r="H4" s="2" t="s">
        <v>143</v>
      </c>
      <c r="I4" s="2" t="s">
        <v>144</v>
      </c>
      <c r="J4" s="2" t="s">
        <v>145</v>
      </c>
      <c r="K4" s="2" t="s">
        <v>146</v>
      </c>
      <c r="L4" s="2" t="s">
        <v>147</v>
      </c>
      <c r="M4" s="2" t="s">
        <v>13</v>
      </c>
    </row>
    <row r="5" spans="1:13" ht="30" customHeight="1">
      <c r="A5" s="1" t="s">
        <v>148</v>
      </c>
      <c r="B5" s="4" t="s">
        <v>15</v>
      </c>
      <c r="C5" s="4" t="s">
        <v>16</v>
      </c>
      <c r="D5" s="5">
        <f t="shared" ref="D5:D64" si="0">D6 + 1</f>
        <v>60</v>
      </c>
      <c r="E5" s="6">
        <v>7202.8339999999998</v>
      </c>
      <c r="F5" s="6">
        <f t="shared" ref="F5:F63" si="1">E6</f>
        <v>7280.7684697643826</v>
      </c>
      <c r="G5" s="7">
        <v>-0.11</v>
      </c>
      <c r="H5" s="7">
        <f t="shared" ref="H5:H63" si="2">G6</f>
        <v>-0.11</v>
      </c>
      <c r="I5" s="7">
        <v>2</v>
      </c>
      <c r="J5" s="7">
        <f t="shared" ref="J5:J63" si="3">I6</f>
        <v>2</v>
      </c>
      <c r="K5" s="4" t="s">
        <v>149</v>
      </c>
      <c r="L5" s="4" t="s">
        <v>149</v>
      </c>
      <c r="M5" s="8" t="s">
        <v>150</v>
      </c>
    </row>
    <row r="6" spans="1:13" ht="30" customHeight="1">
      <c r="A6" s="1" t="s">
        <v>19</v>
      </c>
      <c r="B6" s="4" t="s">
        <v>20</v>
      </c>
      <c r="C6" s="4" t="s">
        <v>21</v>
      </c>
      <c r="D6" s="5">
        <f t="shared" si="0"/>
        <v>59</v>
      </c>
      <c r="E6" s="6">
        <v>7280.7684697643826</v>
      </c>
      <c r="F6" s="6">
        <f t="shared" si="1"/>
        <v>7310.7684697643826</v>
      </c>
      <c r="G6" s="7">
        <v>-0.11</v>
      </c>
      <c r="H6" s="7">
        <f t="shared" si="2"/>
        <v>-2.5000000000000001E-2</v>
      </c>
      <c r="I6" s="7">
        <v>2</v>
      </c>
      <c r="J6" s="7">
        <f t="shared" si="3"/>
        <v>2</v>
      </c>
      <c r="K6" s="4" t="s">
        <v>151</v>
      </c>
      <c r="L6" s="4" t="s">
        <v>149</v>
      </c>
      <c r="M6" s="8" t="s">
        <v>152</v>
      </c>
    </row>
    <row r="7" spans="1:13" ht="30" customHeight="1">
      <c r="A7" s="1" t="s">
        <v>153</v>
      </c>
      <c r="B7" s="4"/>
      <c r="C7" s="4" t="s">
        <v>25</v>
      </c>
      <c r="D7" s="5">
        <f t="shared" si="0"/>
        <v>58</v>
      </c>
      <c r="E7" s="6">
        <v>7310.7684697643826</v>
      </c>
      <c r="F7" s="6">
        <f t="shared" si="1"/>
        <v>7432.4082365561835</v>
      </c>
      <c r="G7" s="7">
        <v>-2.5000000000000001E-2</v>
      </c>
      <c r="H7" s="7">
        <f t="shared" si="2"/>
        <v>-2.5000000000000001E-2</v>
      </c>
      <c r="I7" s="7">
        <v>2</v>
      </c>
      <c r="J7" s="7">
        <f t="shared" si="3"/>
        <v>2</v>
      </c>
      <c r="K7" s="4" t="s">
        <v>149</v>
      </c>
      <c r="L7" s="4" t="s">
        <v>149</v>
      </c>
    </row>
    <row r="8" spans="1:13" ht="30" customHeight="1">
      <c r="A8" s="1" t="s">
        <v>154</v>
      </c>
      <c r="B8" s="4"/>
      <c r="C8" s="4" t="s">
        <v>29</v>
      </c>
      <c r="D8" s="5">
        <f t="shared" si="0"/>
        <v>57</v>
      </c>
      <c r="E8" s="6">
        <v>7432.4082365561835</v>
      </c>
      <c r="F8" s="6">
        <f t="shared" si="1"/>
        <v>7462.4082365561835</v>
      </c>
      <c r="G8" s="7">
        <v>-2.5000000000000001E-2</v>
      </c>
      <c r="H8" s="7">
        <f t="shared" si="2"/>
        <v>-0.11</v>
      </c>
      <c r="I8" s="7">
        <v>2</v>
      </c>
      <c r="J8" s="7">
        <f t="shared" si="3"/>
        <v>2</v>
      </c>
      <c r="K8" s="4" t="s">
        <v>151</v>
      </c>
      <c r="L8" s="4" t="s">
        <v>149</v>
      </c>
    </row>
    <row r="9" spans="1:13" ht="30" customHeight="1">
      <c r="A9" s="1" t="s">
        <v>155</v>
      </c>
      <c r="B9" s="4"/>
      <c r="C9" s="4" t="s">
        <v>33</v>
      </c>
      <c r="D9" s="5">
        <f t="shared" si="0"/>
        <v>56</v>
      </c>
      <c r="E9" s="6">
        <v>7462.4082365561835</v>
      </c>
      <c r="F9" s="6">
        <f t="shared" si="1"/>
        <v>7495.4275500033864</v>
      </c>
      <c r="G9" s="7">
        <v>-0.11</v>
      </c>
      <c r="H9" s="7">
        <f t="shared" si="2"/>
        <v>-0.11</v>
      </c>
      <c r="I9" s="7">
        <v>2</v>
      </c>
      <c r="J9" s="7">
        <f t="shared" si="3"/>
        <v>2</v>
      </c>
      <c r="K9" s="4" t="s">
        <v>149</v>
      </c>
      <c r="L9" s="4" t="s">
        <v>149</v>
      </c>
    </row>
    <row r="10" spans="1:13" ht="30" customHeight="1">
      <c r="A10" s="1" t="s">
        <v>156</v>
      </c>
      <c r="B10" s="4" t="s">
        <v>35</v>
      </c>
      <c r="C10" s="4" t="s">
        <v>21</v>
      </c>
      <c r="D10" s="5">
        <f t="shared" si="0"/>
        <v>55</v>
      </c>
      <c r="E10" s="6">
        <v>7495.4275500033864</v>
      </c>
      <c r="F10" s="6">
        <f t="shared" si="1"/>
        <v>7520.4275500033864</v>
      </c>
      <c r="G10" s="7">
        <v>-0.11</v>
      </c>
      <c r="H10" s="7">
        <f t="shared" si="2"/>
        <v>-0.11</v>
      </c>
      <c r="I10" s="7">
        <v>2</v>
      </c>
      <c r="J10" s="7">
        <f t="shared" si="3"/>
        <v>2</v>
      </c>
      <c r="K10" s="4" t="s">
        <v>149</v>
      </c>
      <c r="L10" s="4" t="s">
        <v>149</v>
      </c>
    </row>
    <row r="11" spans="1:13" ht="30" customHeight="1">
      <c r="A11" s="1" t="s">
        <v>157</v>
      </c>
      <c r="B11" s="4"/>
      <c r="C11" s="4" t="s">
        <v>25</v>
      </c>
      <c r="D11" s="5">
        <f t="shared" si="0"/>
        <v>54</v>
      </c>
      <c r="E11" s="6">
        <v>7520.4275500033864</v>
      </c>
      <c r="F11" s="6">
        <f t="shared" si="1"/>
        <v>7546.1593074077082</v>
      </c>
      <c r="G11" s="7">
        <v>-0.11</v>
      </c>
      <c r="H11" s="7">
        <f t="shared" si="2"/>
        <v>-0.11</v>
      </c>
      <c r="I11" s="7">
        <v>2</v>
      </c>
      <c r="J11" s="7">
        <f t="shared" si="3"/>
        <v>2</v>
      </c>
      <c r="K11" s="4" t="s">
        <v>149</v>
      </c>
      <c r="L11" s="4" t="s">
        <v>149</v>
      </c>
    </row>
    <row r="12" spans="1:13" ht="30" customHeight="1">
      <c r="A12" s="1" t="s">
        <v>158</v>
      </c>
      <c r="B12" s="4"/>
      <c r="C12" s="4" t="s">
        <v>29</v>
      </c>
      <c r="D12" s="5">
        <f t="shared" si="0"/>
        <v>53</v>
      </c>
      <c r="E12" s="6">
        <v>7546.1593074077082</v>
      </c>
      <c r="F12" s="6">
        <f t="shared" si="1"/>
        <v>7571.1593074077082</v>
      </c>
      <c r="G12" s="7">
        <v>-0.11</v>
      </c>
      <c r="H12" s="7">
        <f t="shared" si="2"/>
        <v>-0.11</v>
      </c>
      <c r="I12" s="7">
        <v>2</v>
      </c>
      <c r="J12" s="7">
        <f t="shared" si="3"/>
        <v>2</v>
      </c>
      <c r="K12" s="4" t="s">
        <v>149</v>
      </c>
      <c r="L12" s="4" t="s">
        <v>149</v>
      </c>
    </row>
    <row r="13" spans="1:13" ht="30" customHeight="1">
      <c r="A13" s="1" t="s">
        <v>159</v>
      </c>
      <c r="B13" s="4"/>
      <c r="C13" s="4" t="s">
        <v>33</v>
      </c>
      <c r="D13" s="5">
        <f t="shared" si="0"/>
        <v>52</v>
      </c>
      <c r="E13" s="6">
        <v>7571.1593074077082</v>
      </c>
      <c r="F13" s="6">
        <f t="shared" si="1"/>
        <v>7682.3558307983403</v>
      </c>
      <c r="G13" s="7">
        <v>-0.11</v>
      </c>
      <c r="H13" s="7">
        <f t="shared" si="2"/>
        <v>-0.11</v>
      </c>
      <c r="I13" s="7">
        <v>2</v>
      </c>
      <c r="J13" s="7">
        <f t="shared" si="3"/>
        <v>2</v>
      </c>
      <c r="K13" s="4" t="s">
        <v>149</v>
      </c>
      <c r="L13" s="4" t="s">
        <v>149</v>
      </c>
    </row>
    <row r="14" spans="1:13" ht="30" customHeight="1">
      <c r="A14" s="1" t="s">
        <v>160</v>
      </c>
      <c r="B14" s="4" t="s">
        <v>40</v>
      </c>
      <c r="C14" s="4" t="s">
        <v>21</v>
      </c>
      <c r="D14" s="5">
        <f t="shared" si="0"/>
        <v>51</v>
      </c>
      <c r="E14" s="6">
        <v>7682.3558307983403</v>
      </c>
      <c r="F14" s="6">
        <f t="shared" si="1"/>
        <v>7707.3558307983403</v>
      </c>
      <c r="G14" s="7">
        <v>-0.11</v>
      </c>
      <c r="H14" s="7">
        <f t="shared" si="2"/>
        <v>-0.11</v>
      </c>
      <c r="I14" s="7">
        <v>2</v>
      </c>
      <c r="J14" s="7">
        <f t="shared" si="3"/>
        <v>2</v>
      </c>
      <c r="K14" s="4" t="s">
        <v>149</v>
      </c>
      <c r="L14" s="4" t="s">
        <v>149</v>
      </c>
    </row>
    <row r="15" spans="1:13" ht="30" customHeight="1">
      <c r="A15" s="1" t="s">
        <v>161</v>
      </c>
      <c r="B15" s="4"/>
      <c r="C15" s="4" t="s">
        <v>25</v>
      </c>
      <c r="D15" s="5">
        <f t="shared" si="0"/>
        <v>50</v>
      </c>
      <c r="E15" s="6">
        <v>7707.3558307983403</v>
      </c>
      <c r="F15" s="6">
        <f t="shared" si="1"/>
        <v>7742.2430898280754</v>
      </c>
      <c r="G15" s="7">
        <v>-0.11</v>
      </c>
      <c r="H15" s="7">
        <f t="shared" si="2"/>
        <v>-0.11</v>
      </c>
      <c r="I15" s="7">
        <v>2</v>
      </c>
      <c r="J15" s="7">
        <f t="shared" si="3"/>
        <v>2</v>
      </c>
      <c r="K15" s="4" t="s">
        <v>149</v>
      </c>
      <c r="L15" s="4" t="s">
        <v>149</v>
      </c>
    </row>
    <row r="16" spans="1:13" ht="30" customHeight="1">
      <c r="A16" s="1" t="s">
        <v>162</v>
      </c>
      <c r="B16" s="4"/>
      <c r="C16" s="4" t="s">
        <v>29</v>
      </c>
      <c r="D16" s="5">
        <f t="shared" si="0"/>
        <v>49</v>
      </c>
      <c r="E16" s="6">
        <v>7742.2430898280754</v>
      </c>
      <c r="F16" s="6">
        <f t="shared" si="1"/>
        <v>7767.2430898280754</v>
      </c>
      <c r="G16" s="7">
        <v>-0.11</v>
      </c>
      <c r="H16" s="7">
        <f t="shared" si="2"/>
        <v>-0.11</v>
      </c>
      <c r="I16" s="7">
        <v>2</v>
      </c>
      <c r="J16" s="7">
        <f t="shared" si="3"/>
        <v>2</v>
      </c>
      <c r="K16" s="4" t="s">
        <v>149</v>
      </c>
      <c r="L16" s="4" t="s">
        <v>149</v>
      </c>
    </row>
    <row r="17" spans="1:12" ht="30" customHeight="1">
      <c r="A17" s="1" t="s">
        <v>163</v>
      </c>
      <c r="B17" s="4"/>
      <c r="C17" s="4" t="s">
        <v>33</v>
      </c>
      <c r="D17" s="5">
        <f t="shared" si="0"/>
        <v>48</v>
      </c>
      <c r="E17" s="6">
        <v>7767.2430898280754</v>
      </c>
      <c r="F17" s="6">
        <f t="shared" si="1"/>
        <v>7805.1378543969158</v>
      </c>
      <c r="G17" s="7">
        <v>-0.11</v>
      </c>
      <c r="H17" s="7">
        <f t="shared" si="2"/>
        <v>-0.11</v>
      </c>
      <c r="I17" s="7">
        <v>2</v>
      </c>
      <c r="J17" s="7">
        <f t="shared" si="3"/>
        <v>2</v>
      </c>
      <c r="K17" s="4" t="s">
        <v>149</v>
      </c>
      <c r="L17" s="4" t="s">
        <v>149</v>
      </c>
    </row>
    <row r="18" spans="1:12" ht="30" customHeight="1">
      <c r="A18" s="1" t="s">
        <v>164</v>
      </c>
      <c r="B18" s="4" t="s">
        <v>45</v>
      </c>
      <c r="C18" s="4" t="s">
        <v>21</v>
      </c>
      <c r="D18" s="5">
        <f t="shared" si="0"/>
        <v>47</v>
      </c>
      <c r="E18" s="6">
        <v>7805.1378543969158</v>
      </c>
      <c r="F18" s="6">
        <f t="shared" si="1"/>
        <v>7830.1378543969158</v>
      </c>
      <c r="G18" s="7">
        <v>-0.11</v>
      </c>
      <c r="H18" s="7">
        <f t="shared" si="2"/>
        <v>-0.11</v>
      </c>
      <c r="I18" s="7">
        <v>2</v>
      </c>
      <c r="J18" s="7">
        <f t="shared" si="3"/>
        <v>2</v>
      </c>
      <c r="K18" s="4" t="s">
        <v>149</v>
      </c>
      <c r="L18" s="4" t="s">
        <v>149</v>
      </c>
    </row>
    <row r="19" spans="1:12" ht="30" customHeight="1">
      <c r="A19" s="1" t="s">
        <v>165</v>
      </c>
      <c r="B19" s="4"/>
      <c r="C19" s="4" t="s">
        <v>25</v>
      </c>
      <c r="D19" s="5">
        <f t="shared" si="0"/>
        <v>46</v>
      </c>
      <c r="E19" s="6">
        <v>7830.1378543969158</v>
      </c>
      <c r="F19" s="6">
        <f t="shared" si="1"/>
        <v>7877.3642489977383</v>
      </c>
      <c r="G19" s="7">
        <v>-0.11</v>
      </c>
      <c r="H19" s="7">
        <f t="shared" si="2"/>
        <v>-0.11</v>
      </c>
      <c r="I19" s="7">
        <v>2</v>
      </c>
      <c r="J19" s="7">
        <f t="shared" si="3"/>
        <v>2</v>
      </c>
      <c r="K19" s="4" t="s">
        <v>149</v>
      </c>
      <c r="L19" s="4" t="s">
        <v>149</v>
      </c>
    </row>
    <row r="20" spans="1:12" ht="30" customHeight="1">
      <c r="A20" s="1" t="s">
        <v>166</v>
      </c>
      <c r="B20" s="4"/>
      <c r="C20" s="4" t="s">
        <v>29</v>
      </c>
      <c r="D20" s="5">
        <f t="shared" si="0"/>
        <v>45</v>
      </c>
      <c r="E20" s="6">
        <v>7877.3642489977383</v>
      </c>
      <c r="F20" s="6">
        <f t="shared" si="1"/>
        <v>7902.3642489977383</v>
      </c>
      <c r="G20" s="7">
        <v>-0.11</v>
      </c>
      <c r="H20" s="7">
        <f t="shared" si="2"/>
        <v>-0.11</v>
      </c>
      <c r="I20" s="7">
        <v>2</v>
      </c>
      <c r="J20" s="7">
        <f t="shared" si="3"/>
        <v>2</v>
      </c>
      <c r="K20" s="4" t="s">
        <v>149</v>
      </c>
      <c r="L20" s="4" t="s">
        <v>149</v>
      </c>
    </row>
    <row r="21" spans="1:12" ht="30" customHeight="1">
      <c r="A21" s="1" t="s">
        <v>167</v>
      </c>
      <c r="B21" s="4"/>
      <c r="C21" s="4" t="s">
        <v>33</v>
      </c>
      <c r="D21" s="5">
        <f t="shared" si="0"/>
        <v>44</v>
      </c>
      <c r="E21" s="6">
        <v>7902.3642489977383</v>
      </c>
      <c r="F21" s="6">
        <f t="shared" si="1"/>
        <v>7961.3372717660222</v>
      </c>
      <c r="G21" s="7">
        <v>-0.11</v>
      </c>
      <c r="H21" s="7">
        <f t="shared" si="2"/>
        <v>-0.11</v>
      </c>
      <c r="I21" s="7">
        <v>2</v>
      </c>
      <c r="J21" s="7">
        <f t="shared" si="3"/>
        <v>2</v>
      </c>
      <c r="K21" s="4" t="s">
        <v>149</v>
      </c>
      <c r="L21" s="4" t="s">
        <v>149</v>
      </c>
    </row>
    <row r="22" spans="1:12" ht="30" customHeight="1">
      <c r="A22" s="1" t="s">
        <v>168</v>
      </c>
      <c r="B22" s="4" t="s">
        <v>50</v>
      </c>
      <c r="C22" s="4" t="s">
        <v>21</v>
      </c>
      <c r="D22" s="5">
        <f t="shared" si="0"/>
        <v>43</v>
      </c>
      <c r="E22" s="6">
        <v>7961.3372717660222</v>
      </c>
      <c r="F22" s="6">
        <f t="shared" si="1"/>
        <v>7979.3372717660222</v>
      </c>
      <c r="G22" s="7">
        <v>-0.11</v>
      </c>
      <c r="H22" s="7">
        <f t="shared" si="2"/>
        <v>-2.5000000000000001E-2</v>
      </c>
      <c r="I22" s="7">
        <v>2</v>
      </c>
      <c r="J22" s="7">
        <f t="shared" si="3"/>
        <v>2</v>
      </c>
      <c r="K22" s="4" t="s">
        <v>151</v>
      </c>
      <c r="L22" s="4" t="s">
        <v>149</v>
      </c>
    </row>
    <row r="23" spans="1:12" ht="30" customHeight="1">
      <c r="A23" s="1" t="s">
        <v>169</v>
      </c>
      <c r="B23" s="4"/>
      <c r="C23" s="4" t="s">
        <v>25</v>
      </c>
      <c r="D23" s="5">
        <f t="shared" si="0"/>
        <v>42</v>
      </c>
      <c r="E23" s="6">
        <v>7979.3372717660222</v>
      </c>
      <c r="F23" s="6">
        <f t="shared" si="1"/>
        <v>8000.8239495378812</v>
      </c>
      <c r="G23" s="7">
        <v>-2.5000000000000001E-2</v>
      </c>
      <c r="H23" s="7">
        <f t="shared" si="2"/>
        <v>-2.5000000000000001E-2</v>
      </c>
      <c r="I23" s="7">
        <v>2</v>
      </c>
      <c r="J23" s="7">
        <f t="shared" si="3"/>
        <v>2</v>
      </c>
      <c r="K23" s="4" t="s">
        <v>149</v>
      </c>
      <c r="L23" s="4" t="s">
        <v>149</v>
      </c>
    </row>
    <row r="24" spans="1:12" ht="30" customHeight="1">
      <c r="A24" s="1" t="s">
        <v>170</v>
      </c>
      <c r="B24" s="4"/>
      <c r="C24" s="4" t="s">
        <v>29</v>
      </c>
      <c r="D24" s="5">
        <f t="shared" si="0"/>
        <v>41</v>
      </c>
      <c r="E24" s="6">
        <v>8000.8239495378812</v>
      </c>
      <c r="F24" s="6">
        <f t="shared" si="1"/>
        <v>8018.8239495378812</v>
      </c>
      <c r="G24" s="7">
        <v>-2.5000000000000001E-2</v>
      </c>
      <c r="H24" s="7">
        <f t="shared" si="2"/>
        <v>-0.11</v>
      </c>
      <c r="I24" s="7">
        <v>2</v>
      </c>
      <c r="J24" s="7">
        <f t="shared" si="3"/>
        <v>2</v>
      </c>
      <c r="K24" s="4" t="s">
        <v>151</v>
      </c>
      <c r="L24" s="4" t="s">
        <v>149</v>
      </c>
    </row>
    <row r="25" spans="1:12" ht="30" customHeight="1">
      <c r="A25" s="1" t="s">
        <v>171</v>
      </c>
      <c r="B25" s="4"/>
      <c r="C25" s="4" t="s">
        <v>33</v>
      </c>
      <c r="D25" s="5">
        <f t="shared" si="0"/>
        <v>40</v>
      </c>
      <c r="E25" s="6">
        <v>8018.8239495378812</v>
      </c>
      <c r="F25" s="6">
        <f t="shared" si="1"/>
        <v>8018.8240018921424</v>
      </c>
      <c r="G25" s="7">
        <v>-0.11</v>
      </c>
      <c r="H25" s="7">
        <f t="shared" si="2"/>
        <v>-0.11</v>
      </c>
      <c r="I25" s="7">
        <v>2</v>
      </c>
      <c r="J25" s="7">
        <f t="shared" si="3"/>
        <v>2</v>
      </c>
      <c r="K25" s="4" t="s">
        <v>149</v>
      </c>
      <c r="L25" s="4" t="s">
        <v>149</v>
      </c>
    </row>
    <row r="26" spans="1:12" ht="30" customHeight="1">
      <c r="A26" s="1" t="s">
        <v>172</v>
      </c>
      <c r="B26" s="4" t="s">
        <v>55</v>
      </c>
      <c r="C26" s="4" t="s">
        <v>21</v>
      </c>
      <c r="D26" s="5">
        <f t="shared" si="0"/>
        <v>39</v>
      </c>
      <c r="E26" s="6">
        <v>8018.8240018921424</v>
      </c>
      <c r="F26" s="6">
        <f t="shared" si="1"/>
        <v>8036.8240018921424</v>
      </c>
      <c r="G26" s="7">
        <v>-0.11</v>
      </c>
      <c r="H26" s="7">
        <f t="shared" si="2"/>
        <v>-0.11</v>
      </c>
      <c r="I26" s="7">
        <v>2</v>
      </c>
      <c r="J26" s="7">
        <f t="shared" si="3"/>
        <v>2</v>
      </c>
      <c r="K26" s="4" t="s">
        <v>149</v>
      </c>
      <c r="L26" s="4" t="s">
        <v>149</v>
      </c>
    </row>
    <row r="27" spans="1:12" ht="30" customHeight="1">
      <c r="A27" s="1" t="s">
        <v>173</v>
      </c>
      <c r="B27" s="4"/>
      <c r="C27" s="4" t="s">
        <v>25</v>
      </c>
      <c r="D27" s="5">
        <f t="shared" si="0"/>
        <v>38</v>
      </c>
      <c r="E27" s="6">
        <v>8036.8240018921424</v>
      </c>
      <c r="F27" s="6">
        <f t="shared" si="1"/>
        <v>8055.187135067189</v>
      </c>
      <c r="G27" s="7">
        <v>-0.11</v>
      </c>
      <c r="H27" s="7">
        <f t="shared" si="2"/>
        <v>-0.11</v>
      </c>
      <c r="I27" s="7">
        <v>2</v>
      </c>
      <c r="J27" s="7">
        <f t="shared" si="3"/>
        <v>2</v>
      </c>
      <c r="K27" s="4" t="s">
        <v>149</v>
      </c>
      <c r="L27" s="4" t="s">
        <v>149</v>
      </c>
    </row>
    <row r="28" spans="1:12" ht="30" customHeight="1">
      <c r="A28" s="1" t="s">
        <v>174</v>
      </c>
      <c r="B28" s="4"/>
      <c r="C28" s="4" t="s">
        <v>29</v>
      </c>
      <c r="D28" s="5">
        <f t="shared" si="0"/>
        <v>37</v>
      </c>
      <c r="E28" s="6">
        <v>8055.187135067189</v>
      </c>
      <c r="F28" s="6">
        <f t="shared" si="1"/>
        <v>8073.187135067189</v>
      </c>
      <c r="G28" s="7">
        <v>-0.11</v>
      </c>
      <c r="H28" s="7">
        <f t="shared" si="2"/>
        <v>-0.11</v>
      </c>
      <c r="I28" s="7">
        <v>2</v>
      </c>
      <c r="J28" s="7">
        <f t="shared" si="3"/>
        <v>2</v>
      </c>
      <c r="K28" s="4" t="s">
        <v>149</v>
      </c>
      <c r="L28" s="4" t="s">
        <v>149</v>
      </c>
    </row>
    <row r="29" spans="1:12" ht="30" customHeight="1">
      <c r="A29" s="1" t="s">
        <v>175</v>
      </c>
      <c r="B29" s="4"/>
      <c r="C29" s="4" t="s">
        <v>33</v>
      </c>
      <c r="D29" s="5">
        <f t="shared" si="0"/>
        <v>36</v>
      </c>
      <c r="E29" s="6">
        <v>8073.187135067189</v>
      </c>
      <c r="F29" s="6">
        <f t="shared" si="1"/>
        <v>8275.8468033955614</v>
      </c>
      <c r="G29" s="7">
        <v>-0.11</v>
      </c>
      <c r="H29" s="7">
        <f t="shared" si="2"/>
        <v>-0.11</v>
      </c>
      <c r="I29" s="7">
        <v>2</v>
      </c>
      <c r="J29" s="7">
        <f t="shared" si="3"/>
        <v>2</v>
      </c>
      <c r="K29" s="4" t="s">
        <v>149</v>
      </c>
      <c r="L29" s="4" t="s">
        <v>149</v>
      </c>
    </row>
    <row r="30" spans="1:12" ht="30" customHeight="1">
      <c r="A30" s="1" t="s">
        <v>176</v>
      </c>
      <c r="B30" s="4" t="s">
        <v>60</v>
      </c>
      <c r="C30" s="4" t="s">
        <v>61</v>
      </c>
      <c r="D30" s="5">
        <f t="shared" si="0"/>
        <v>35</v>
      </c>
      <c r="E30" s="6">
        <v>8275.8468033955614</v>
      </c>
      <c r="F30" s="6">
        <f t="shared" si="1"/>
        <v>8314.7883491453722</v>
      </c>
      <c r="G30" s="7">
        <v>-0.11</v>
      </c>
      <c r="H30" s="7">
        <f t="shared" si="2"/>
        <v>-0.11</v>
      </c>
      <c r="I30" s="7">
        <v>2</v>
      </c>
      <c r="J30" s="7">
        <f t="shared" si="3"/>
        <v>2</v>
      </c>
      <c r="K30" s="4" t="s">
        <v>149</v>
      </c>
      <c r="L30" s="4" t="s">
        <v>149</v>
      </c>
    </row>
    <row r="31" spans="1:12" ht="30" customHeight="1">
      <c r="A31" s="1" t="s">
        <v>177</v>
      </c>
      <c r="B31" s="4"/>
      <c r="C31" s="4" t="s">
        <v>63</v>
      </c>
      <c r="D31" s="5">
        <f t="shared" si="0"/>
        <v>34</v>
      </c>
      <c r="E31" s="6">
        <v>8314.7883491453722</v>
      </c>
      <c r="F31" s="6">
        <f t="shared" si="1"/>
        <v>8370.0670298726436</v>
      </c>
      <c r="G31" s="7">
        <v>-0.11</v>
      </c>
      <c r="H31" s="7">
        <f t="shared" si="2"/>
        <v>-0.11</v>
      </c>
      <c r="I31" s="7">
        <v>2</v>
      </c>
      <c r="J31" s="7">
        <f t="shared" si="3"/>
        <v>2</v>
      </c>
      <c r="K31" s="4" t="s">
        <v>149</v>
      </c>
      <c r="L31" s="4" t="s">
        <v>149</v>
      </c>
    </row>
    <row r="32" spans="1:12" ht="30" customHeight="1">
      <c r="A32" s="1" t="s">
        <v>178</v>
      </c>
      <c r="B32" s="4" t="s">
        <v>65</v>
      </c>
      <c r="C32" s="4" t="s">
        <v>21</v>
      </c>
      <c r="D32" s="5">
        <f t="shared" si="0"/>
        <v>33</v>
      </c>
      <c r="E32" s="6">
        <v>8370.0670298726436</v>
      </c>
      <c r="F32" s="6">
        <f t="shared" si="1"/>
        <v>8390.0670298726436</v>
      </c>
      <c r="G32" s="7">
        <v>-0.11</v>
      </c>
      <c r="H32" s="7">
        <f t="shared" si="2"/>
        <v>-0.11</v>
      </c>
      <c r="I32" s="7">
        <v>2</v>
      </c>
      <c r="J32" s="7">
        <f t="shared" si="3"/>
        <v>2</v>
      </c>
      <c r="K32" s="4" t="s">
        <v>149</v>
      </c>
      <c r="L32" s="4" t="s">
        <v>149</v>
      </c>
    </row>
    <row r="33" spans="1:12" ht="30" customHeight="1">
      <c r="A33" s="1" t="s">
        <v>179</v>
      </c>
      <c r="B33" s="4"/>
      <c r="C33" s="4" t="s">
        <v>25</v>
      </c>
      <c r="D33" s="5">
        <f t="shared" si="0"/>
        <v>32</v>
      </c>
      <c r="E33" s="6">
        <v>8390.0670298726436</v>
      </c>
      <c r="F33" s="6">
        <f t="shared" si="1"/>
        <v>8416.265949351684</v>
      </c>
      <c r="G33" s="7">
        <v>-0.11</v>
      </c>
      <c r="H33" s="7">
        <f t="shared" si="2"/>
        <v>-0.11</v>
      </c>
      <c r="I33" s="7">
        <v>2</v>
      </c>
      <c r="J33" s="7">
        <f t="shared" si="3"/>
        <v>2</v>
      </c>
      <c r="K33" s="4" t="s">
        <v>149</v>
      </c>
      <c r="L33" s="4" t="s">
        <v>149</v>
      </c>
    </row>
    <row r="34" spans="1:12" ht="30" customHeight="1">
      <c r="A34" s="1" t="s">
        <v>180</v>
      </c>
      <c r="B34" s="4"/>
      <c r="C34" s="4" t="s">
        <v>29</v>
      </c>
      <c r="D34" s="5">
        <f t="shared" si="0"/>
        <v>31</v>
      </c>
      <c r="E34" s="6">
        <v>8416.265949351684</v>
      </c>
      <c r="F34" s="6">
        <f t="shared" si="1"/>
        <v>8436.265949351684</v>
      </c>
      <c r="G34" s="7">
        <v>-0.11</v>
      </c>
      <c r="H34" s="7">
        <f t="shared" si="2"/>
        <v>-0.11</v>
      </c>
      <c r="I34" s="7">
        <v>2</v>
      </c>
      <c r="J34" s="7">
        <f t="shared" si="3"/>
        <v>2</v>
      </c>
      <c r="K34" s="4" t="s">
        <v>149</v>
      </c>
      <c r="L34" s="4" t="s">
        <v>149</v>
      </c>
    </row>
    <row r="35" spans="1:12" ht="30" customHeight="1">
      <c r="A35" s="1" t="s">
        <v>181</v>
      </c>
      <c r="B35" s="4"/>
      <c r="C35" s="4" t="s">
        <v>33</v>
      </c>
      <c r="D35" s="5">
        <f t="shared" si="0"/>
        <v>30</v>
      </c>
      <c r="E35" s="6">
        <v>8436.265949351684</v>
      </c>
      <c r="F35" s="6">
        <f t="shared" si="1"/>
        <v>8509.0428849791551</v>
      </c>
      <c r="G35" s="7">
        <v>-0.11</v>
      </c>
      <c r="H35" s="7">
        <f t="shared" si="2"/>
        <v>-0.11</v>
      </c>
      <c r="I35" s="7">
        <v>2</v>
      </c>
      <c r="J35" s="7">
        <f t="shared" si="3"/>
        <v>2</v>
      </c>
      <c r="K35" s="4" t="s">
        <v>149</v>
      </c>
      <c r="L35" s="4" t="s">
        <v>149</v>
      </c>
    </row>
    <row r="36" spans="1:12" ht="30" customHeight="1">
      <c r="A36" s="1" t="s">
        <v>182</v>
      </c>
      <c r="B36" s="4" t="s">
        <v>70</v>
      </c>
      <c r="C36" s="4" t="s">
        <v>21</v>
      </c>
      <c r="D36" s="5">
        <f t="shared" si="0"/>
        <v>29</v>
      </c>
      <c r="E36" s="6">
        <v>8509.0428849791551</v>
      </c>
      <c r="F36" s="6">
        <f t="shared" si="1"/>
        <v>8559.0428849791551</v>
      </c>
      <c r="G36" s="7">
        <v>-0.11</v>
      </c>
      <c r="H36" s="7">
        <f t="shared" si="2"/>
        <v>-3.2000000000000001E-2</v>
      </c>
      <c r="I36" s="7">
        <v>2</v>
      </c>
      <c r="J36" s="7">
        <f t="shared" si="3"/>
        <v>2</v>
      </c>
      <c r="K36" s="4" t="s">
        <v>151</v>
      </c>
      <c r="L36" s="4" t="s">
        <v>149</v>
      </c>
    </row>
    <row r="37" spans="1:12" ht="30" customHeight="1">
      <c r="A37" s="1" t="s">
        <v>183</v>
      </c>
      <c r="B37" s="4"/>
      <c r="C37" s="4" t="s">
        <v>25</v>
      </c>
      <c r="D37" s="5">
        <f t="shared" si="0"/>
        <v>28</v>
      </c>
      <c r="E37" s="6">
        <v>8559.0428849791551</v>
      </c>
      <c r="F37" s="6">
        <f t="shared" si="1"/>
        <v>8585.8750140794491</v>
      </c>
      <c r="G37" s="7">
        <v>-3.2000000000000001E-2</v>
      </c>
      <c r="H37" s="7">
        <f t="shared" si="2"/>
        <v>-3.2000000000000001E-2</v>
      </c>
      <c r="I37" s="7">
        <v>2</v>
      </c>
      <c r="J37" s="7">
        <f t="shared" si="3"/>
        <v>2</v>
      </c>
      <c r="K37" s="4" t="s">
        <v>149</v>
      </c>
      <c r="L37" s="4" t="s">
        <v>149</v>
      </c>
    </row>
    <row r="38" spans="1:12" ht="30" customHeight="1">
      <c r="A38" s="1" t="s">
        <v>184</v>
      </c>
      <c r="B38" s="4"/>
      <c r="C38" s="4" t="s">
        <v>29</v>
      </c>
      <c r="D38" s="5">
        <f t="shared" si="0"/>
        <v>27</v>
      </c>
      <c r="E38" s="6">
        <v>8585.8750140794491</v>
      </c>
      <c r="F38" s="6">
        <f t="shared" si="1"/>
        <v>8635.8750140794491</v>
      </c>
      <c r="G38" s="7">
        <v>-3.2000000000000001E-2</v>
      </c>
      <c r="H38" s="7">
        <f t="shared" si="2"/>
        <v>-0.11</v>
      </c>
      <c r="I38" s="7">
        <v>2</v>
      </c>
      <c r="J38" s="7">
        <f t="shared" si="3"/>
        <v>2</v>
      </c>
      <c r="K38" s="4" t="s">
        <v>151</v>
      </c>
      <c r="L38" s="4" t="s">
        <v>149</v>
      </c>
    </row>
    <row r="39" spans="1:12" ht="30" customHeight="1">
      <c r="A39" s="1" t="s">
        <v>185</v>
      </c>
      <c r="B39" s="4"/>
      <c r="C39" s="4" t="s">
        <v>33</v>
      </c>
      <c r="D39" s="5">
        <f t="shared" si="0"/>
        <v>26</v>
      </c>
      <c r="E39" s="6">
        <v>8635.8750140794491</v>
      </c>
      <c r="F39" s="6">
        <f t="shared" si="1"/>
        <v>8968.273435321109</v>
      </c>
      <c r="G39" s="7">
        <v>-0.11</v>
      </c>
      <c r="H39" s="7">
        <f t="shared" si="2"/>
        <v>-0.11</v>
      </c>
      <c r="I39" s="7">
        <v>2</v>
      </c>
      <c r="J39" s="7">
        <f t="shared" si="3"/>
        <v>2</v>
      </c>
      <c r="K39" s="4" t="s">
        <v>149</v>
      </c>
      <c r="L39" s="4" t="s">
        <v>149</v>
      </c>
    </row>
    <row r="40" spans="1:12" ht="30" customHeight="1">
      <c r="A40" s="1" t="s">
        <v>186</v>
      </c>
      <c r="B40" s="4" t="s">
        <v>75</v>
      </c>
      <c r="C40" s="4" t="s">
        <v>21</v>
      </c>
      <c r="D40" s="5">
        <f t="shared" si="0"/>
        <v>25</v>
      </c>
      <c r="E40" s="6">
        <v>8968.273435321109</v>
      </c>
      <c r="F40" s="6">
        <f t="shared" si="1"/>
        <v>9008.273435321109</v>
      </c>
      <c r="G40" s="7">
        <v>-0.11</v>
      </c>
      <c r="H40" s="7">
        <f t="shared" si="2"/>
        <v>-0.26</v>
      </c>
      <c r="I40" s="7">
        <v>2</v>
      </c>
      <c r="J40" s="7">
        <f t="shared" si="3"/>
        <v>2</v>
      </c>
      <c r="K40" s="4" t="s">
        <v>151</v>
      </c>
      <c r="L40" s="4" t="s">
        <v>149</v>
      </c>
    </row>
    <row r="41" spans="1:12" ht="30" customHeight="1">
      <c r="A41" s="1" t="s">
        <v>187</v>
      </c>
      <c r="B41" s="4"/>
      <c r="C41" s="4" t="s">
        <v>25</v>
      </c>
      <c r="D41" s="5">
        <f t="shared" si="0"/>
        <v>24</v>
      </c>
      <c r="E41" s="6">
        <v>9008.273435321109</v>
      </c>
      <c r="F41" s="6">
        <f t="shared" si="1"/>
        <v>9066.8498928698264</v>
      </c>
      <c r="G41" s="7">
        <v>-0.26</v>
      </c>
      <c r="H41" s="7">
        <f t="shared" si="2"/>
        <v>-0.26</v>
      </c>
      <c r="I41" s="7">
        <v>2</v>
      </c>
      <c r="J41" s="7">
        <f t="shared" si="3"/>
        <v>2</v>
      </c>
      <c r="K41" s="4" t="s">
        <v>149</v>
      </c>
      <c r="L41" s="4" t="s">
        <v>149</v>
      </c>
    </row>
    <row r="42" spans="1:12" ht="30" customHeight="1">
      <c r="A42" s="1" t="s">
        <v>188</v>
      </c>
      <c r="B42" s="4"/>
      <c r="C42" s="4" t="s">
        <v>29</v>
      </c>
      <c r="D42" s="5">
        <f t="shared" si="0"/>
        <v>23</v>
      </c>
      <c r="E42" s="6">
        <v>9066.8498928698264</v>
      </c>
      <c r="F42" s="6">
        <f t="shared" si="1"/>
        <v>9106.8498928698264</v>
      </c>
      <c r="G42" s="7">
        <v>-0.26</v>
      </c>
      <c r="H42" s="7">
        <f t="shared" si="2"/>
        <v>-0.11</v>
      </c>
      <c r="I42" s="7">
        <v>2</v>
      </c>
      <c r="J42" s="7">
        <f t="shared" si="3"/>
        <v>2</v>
      </c>
      <c r="K42" s="4" t="s">
        <v>151</v>
      </c>
      <c r="L42" s="4" t="s">
        <v>149</v>
      </c>
    </row>
    <row r="43" spans="1:12" ht="30" customHeight="1">
      <c r="A43" s="1" t="s">
        <v>189</v>
      </c>
      <c r="B43" s="4"/>
      <c r="C43" s="4" t="s">
        <v>33</v>
      </c>
      <c r="D43" s="5">
        <f t="shared" si="0"/>
        <v>22</v>
      </c>
      <c r="E43" s="6">
        <v>9106.8498928698264</v>
      </c>
      <c r="F43" s="6">
        <f t="shared" si="1"/>
        <v>9132.0377407401102</v>
      </c>
      <c r="G43" s="7">
        <v>-0.11</v>
      </c>
      <c r="H43" s="7">
        <f t="shared" si="2"/>
        <v>-0.11</v>
      </c>
      <c r="I43" s="7">
        <v>2</v>
      </c>
      <c r="J43" s="7">
        <f t="shared" si="3"/>
        <v>2</v>
      </c>
      <c r="K43" s="4" t="s">
        <v>149</v>
      </c>
      <c r="L43" s="4" t="s">
        <v>149</v>
      </c>
    </row>
    <row r="44" spans="1:12" ht="30" customHeight="1">
      <c r="A44" s="1" t="s">
        <v>190</v>
      </c>
      <c r="B44" s="4" t="s">
        <v>80</v>
      </c>
      <c r="C44" s="4" t="s">
        <v>21</v>
      </c>
      <c r="D44" s="5">
        <f t="shared" si="0"/>
        <v>21</v>
      </c>
      <c r="E44" s="6">
        <v>9132.0377407401102</v>
      </c>
      <c r="F44" s="6">
        <f t="shared" si="1"/>
        <v>9172.0377407401102</v>
      </c>
      <c r="G44" s="7">
        <v>-0.11</v>
      </c>
      <c r="H44" s="7">
        <f t="shared" si="2"/>
        <v>-3.2000000000000001E-2</v>
      </c>
      <c r="I44" s="7">
        <v>2</v>
      </c>
      <c r="J44" s="7">
        <f t="shared" si="3"/>
        <v>2</v>
      </c>
      <c r="K44" s="4" t="s">
        <v>151</v>
      </c>
      <c r="L44" s="4" t="s">
        <v>149</v>
      </c>
    </row>
    <row r="45" spans="1:12" ht="30" customHeight="1">
      <c r="A45" s="1" t="s">
        <v>191</v>
      </c>
      <c r="B45" s="4"/>
      <c r="C45" s="4" t="s">
        <v>25</v>
      </c>
      <c r="D45" s="5">
        <f t="shared" si="0"/>
        <v>20</v>
      </c>
      <c r="E45" s="6">
        <v>9172.0377407401102</v>
      </c>
      <c r="F45" s="6">
        <f t="shared" si="1"/>
        <v>9305.8105857361552</v>
      </c>
      <c r="G45" s="7">
        <v>-3.2000000000000001E-2</v>
      </c>
      <c r="H45" s="7">
        <f t="shared" si="2"/>
        <v>-3.2000000000000001E-2</v>
      </c>
      <c r="I45" s="7">
        <v>2</v>
      </c>
      <c r="J45" s="7">
        <f t="shared" si="3"/>
        <v>2</v>
      </c>
      <c r="K45" s="4" t="s">
        <v>149</v>
      </c>
      <c r="L45" s="4" t="s">
        <v>149</v>
      </c>
    </row>
    <row r="46" spans="1:12" ht="30" customHeight="1">
      <c r="A46" s="1" t="s">
        <v>192</v>
      </c>
      <c r="B46" s="4"/>
      <c r="C46" s="4" t="s">
        <v>29</v>
      </c>
      <c r="D46" s="5">
        <f t="shared" si="0"/>
        <v>19</v>
      </c>
      <c r="E46" s="6">
        <v>9305.8105857361552</v>
      </c>
      <c r="F46" s="6">
        <f t="shared" si="1"/>
        <v>9345.8105857361552</v>
      </c>
      <c r="G46" s="7">
        <v>-3.2000000000000001E-2</v>
      </c>
      <c r="H46" s="7">
        <f t="shared" si="2"/>
        <v>-0.11</v>
      </c>
      <c r="I46" s="7">
        <v>2</v>
      </c>
      <c r="J46" s="7">
        <f t="shared" si="3"/>
        <v>2</v>
      </c>
      <c r="K46" s="4" t="s">
        <v>151</v>
      </c>
      <c r="L46" s="4" t="s">
        <v>149</v>
      </c>
    </row>
    <row r="47" spans="1:12" ht="30" customHeight="1">
      <c r="A47" s="1" t="s">
        <v>193</v>
      </c>
      <c r="B47" s="4"/>
      <c r="C47" s="4" t="s">
        <v>33</v>
      </c>
      <c r="D47" s="5">
        <f t="shared" si="0"/>
        <v>18</v>
      </c>
      <c r="E47" s="6">
        <v>9345.8105857361552</v>
      </c>
      <c r="F47" s="6">
        <f t="shared" si="1"/>
        <v>9372.8740936811646</v>
      </c>
      <c r="G47" s="7">
        <v>-0.11</v>
      </c>
      <c r="H47" s="7">
        <f t="shared" si="2"/>
        <v>-0.11</v>
      </c>
      <c r="I47" s="7">
        <v>2</v>
      </c>
      <c r="J47" s="7">
        <f t="shared" si="3"/>
        <v>2</v>
      </c>
      <c r="K47" s="4" t="s">
        <v>149</v>
      </c>
      <c r="L47" s="4" t="s">
        <v>149</v>
      </c>
    </row>
    <row r="48" spans="1:12" ht="30" customHeight="1">
      <c r="A48" s="1" t="s">
        <v>194</v>
      </c>
      <c r="B48" s="4" t="s">
        <v>85</v>
      </c>
      <c r="C48" s="4" t="s">
        <v>21</v>
      </c>
      <c r="D48" s="5">
        <f t="shared" si="0"/>
        <v>17</v>
      </c>
      <c r="E48" s="6">
        <v>9372.8740936811646</v>
      </c>
      <c r="F48" s="6">
        <f t="shared" si="1"/>
        <v>9422.8740936811646</v>
      </c>
      <c r="G48" s="7">
        <v>-0.11</v>
      </c>
      <c r="H48" s="7">
        <f t="shared" si="2"/>
        <v>-0.3</v>
      </c>
      <c r="I48" s="7">
        <v>2</v>
      </c>
      <c r="J48" s="7">
        <f t="shared" si="3"/>
        <v>2</v>
      </c>
      <c r="K48" s="4" t="s">
        <v>151</v>
      </c>
      <c r="L48" s="4" t="s">
        <v>149</v>
      </c>
    </row>
    <row r="49" spans="1:12" ht="30" customHeight="1">
      <c r="A49" s="1" t="s">
        <v>195</v>
      </c>
      <c r="B49" s="4"/>
      <c r="C49" s="4" t="s">
        <v>25</v>
      </c>
      <c r="D49" s="5">
        <f t="shared" si="0"/>
        <v>16</v>
      </c>
      <c r="E49" s="6">
        <v>9422.8740936811646</v>
      </c>
      <c r="F49" s="6">
        <f t="shared" si="1"/>
        <v>9492.6123664099578</v>
      </c>
      <c r="G49" s="7">
        <v>-0.3</v>
      </c>
      <c r="H49" s="7">
        <f t="shared" si="2"/>
        <v>-0.3</v>
      </c>
      <c r="I49" s="7">
        <v>2</v>
      </c>
      <c r="J49" s="7">
        <f t="shared" si="3"/>
        <v>2</v>
      </c>
      <c r="K49" s="4" t="s">
        <v>149</v>
      </c>
      <c r="L49" s="4" t="s">
        <v>149</v>
      </c>
    </row>
    <row r="50" spans="1:12" ht="30" customHeight="1">
      <c r="A50" s="1" t="s">
        <v>196</v>
      </c>
      <c r="B50" s="4"/>
      <c r="C50" s="4" t="s">
        <v>29</v>
      </c>
      <c r="D50" s="5">
        <f t="shared" si="0"/>
        <v>15</v>
      </c>
      <c r="E50" s="6">
        <v>9492.6123664099578</v>
      </c>
      <c r="F50" s="6">
        <f t="shared" si="1"/>
        <v>9542.6123664099578</v>
      </c>
      <c r="G50" s="7">
        <v>-0.3</v>
      </c>
      <c r="H50" s="7">
        <f t="shared" si="2"/>
        <v>-0.11</v>
      </c>
      <c r="I50" s="7">
        <v>2</v>
      </c>
      <c r="J50" s="7">
        <f t="shared" si="3"/>
        <v>2</v>
      </c>
      <c r="K50" s="4" t="s">
        <v>151</v>
      </c>
      <c r="L50" s="4" t="s">
        <v>149</v>
      </c>
    </row>
    <row r="51" spans="1:12" ht="30" customHeight="1">
      <c r="A51" s="1" t="s">
        <v>197</v>
      </c>
      <c r="B51" s="4"/>
      <c r="C51" s="4" t="s">
        <v>33</v>
      </c>
      <c r="D51" s="5">
        <f t="shared" si="0"/>
        <v>14</v>
      </c>
      <c r="E51" s="6">
        <v>9542.6123664099578</v>
      </c>
      <c r="F51" s="6">
        <f t="shared" si="1"/>
        <v>9567.6124449940617</v>
      </c>
      <c r="G51" s="7">
        <v>-0.11</v>
      </c>
      <c r="H51" s="7">
        <f t="shared" si="2"/>
        <v>-0.11</v>
      </c>
      <c r="I51" s="7">
        <v>2</v>
      </c>
      <c r="J51" s="7">
        <f t="shared" si="3"/>
        <v>2</v>
      </c>
      <c r="K51" s="4" t="s">
        <v>149</v>
      </c>
      <c r="L51" s="4" t="s">
        <v>149</v>
      </c>
    </row>
    <row r="52" spans="1:12" ht="30" customHeight="1">
      <c r="A52" s="1" t="s">
        <v>198</v>
      </c>
      <c r="B52" s="4" t="s">
        <v>90</v>
      </c>
      <c r="C52" s="4" t="s">
        <v>21</v>
      </c>
      <c r="D52" s="5">
        <f t="shared" si="0"/>
        <v>13</v>
      </c>
      <c r="E52" s="6">
        <v>9567.6124449940617</v>
      </c>
      <c r="F52" s="6">
        <f t="shared" si="1"/>
        <v>9592.6124449940617</v>
      </c>
      <c r="G52" s="7">
        <v>-0.11</v>
      </c>
      <c r="H52" s="7">
        <f t="shared" si="2"/>
        <v>-0.09</v>
      </c>
      <c r="I52" s="7">
        <v>2</v>
      </c>
      <c r="J52" s="7">
        <f t="shared" si="3"/>
        <v>2</v>
      </c>
      <c r="K52" s="4" t="s">
        <v>151</v>
      </c>
      <c r="L52" s="4" t="s">
        <v>149</v>
      </c>
    </row>
    <row r="53" spans="1:12" ht="30" customHeight="1">
      <c r="A53" s="1" t="s">
        <v>199</v>
      </c>
      <c r="B53" s="4"/>
      <c r="C53" s="4" t="s">
        <v>25</v>
      </c>
      <c r="D53" s="5">
        <f t="shared" si="0"/>
        <v>12</v>
      </c>
      <c r="E53" s="6">
        <v>9592.6124449940617</v>
      </c>
      <c r="F53" s="6">
        <f t="shared" si="1"/>
        <v>9618.2924341704329</v>
      </c>
      <c r="G53" s="7">
        <v>-0.09</v>
      </c>
      <c r="H53" s="7">
        <f t="shared" si="2"/>
        <v>-0.09</v>
      </c>
      <c r="I53" s="7">
        <v>2</v>
      </c>
      <c r="J53" s="7">
        <f t="shared" si="3"/>
        <v>2</v>
      </c>
      <c r="K53" s="4" t="s">
        <v>149</v>
      </c>
      <c r="L53" s="4" t="s">
        <v>149</v>
      </c>
    </row>
    <row r="54" spans="1:12" ht="30" customHeight="1">
      <c r="A54" s="1" t="s">
        <v>200</v>
      </c>
      <c r="B54" s="4"/>
      <c r="C54" s="4" t="s">
        <v>29</v>
      </c>
      <c r="D54" s="5">
        <f t="shared" si="0"/>
        <v>11</v>
      </c>
      <c r="E54" s="6">
        <v>9618.2924341704329</v>
      </c>
      <c r="F54" s="6">
        <f t="shared" si="1"/>
        <v>9643.2924341704329</v>
      </c>
      <c r="G54" s="7">
        <v>-0.09</v>
      </c>
      <c r="H54" s="7">
        <f t="shared" si="2"/>
        <v>-0.11</v>
      </c>
      <c r="I54" s="7">
        <v>2</v>
      </c>
      <c r="J54" s="7">
        <f t="shared" si="3"/>
        <v>2</v>
      </c>
      <c r="K54" s="4" t="s">
        <v>151</v>
      </c>
      <c r="L54" s="4" t="s">
        <v>149</v>
      </c>
    </row>
    <row r="55" spans="1:12" ht="30" customHeight="1">
      <c r="A55" s="1" t="s">
        <v>201</v>
      </c>
      <c r="B55" s="4"/>
      <c r="C55" s="4" t="s">
        <v>33</v>
      </c>
      <c r="D55" s="5">
        <f t="shared" si="0"/>
        <v>10</v>
      </c>
      <c r="E55" s="6">
        <v>9643.2924341704329</v>
      </c>
      <c r="F55" s="6">
        <f t="shared" si="1"/>
        <v>9713.1414571010737</v>
      </c>
      <c r="G55" s="7">
        <v>-0.11</v>
      </c>
      <c r="H55" s="7">
        <f t="shared" si="2"/>
        <v>-0.11</v>
      </c>
      <c r="I55" s="7">
        <v>2</v>
      </c>
      <c r="J55" s="7">
        <f t="shared" si="3"/>
        <v>2</v>
      </c>
      <c r="K55" s="4" t="s">
        <v>149</v>
      </c>
      <c r="L55" s="4" t="s">
        <v>149</v>
      </c>
    </row>
    <row r="56" spans="1:12" ht="30" customHeight="1">
      <c r="A56" s="1" t="s">
        <v>202</v>
      </c>
      <c r="B56" s="4" t="s">
        <v>95</v>
      </c>
      <c r="C56" s="4" t="s">
        <v>21</v>
      </c>
      <c r="D56" s="5">
        <f t="shared" si="0"/>
        <v>9</v>
      </c>
      <c r="E56" s="6">
        <v>9713.1414571010737</v>
      </c>
      <c r="F56" s="6">
        <f t="shared" si="1"/>
        <v>9768.1414571010737</v>
      </c>
      <c r="G56" s="7">
        <v>-0.11</v>
      </c>
      <c r="H56" s="7">
        <f t="shared" si="2"/>
        <v>-0.28000000000000003</v>
      </c>
      <c r="I56" s="7">
        <v>2</v>
      </c>
      <c r="J56" s="7">
        <f t="shared" si="3"/>
        <v>2</v>
      </c>
      <c r="K56" s="4" t="s">
        <v>151</v>
      </c>
      <c r="L56" s="4" t="s">
        <v>149</v>
      </c>
    </row>
    <row r="57" spans="1:12" ht="30" customHeight="1">
      <c r="A57" s="1" t="s">
        <v>203</v>
      </c>
      <c r="B57" s="4"/>
      <c r="C57" s="4" t="s">
        <v>25</v>
      </c>
      <c r="D57" s="5">
        <f t="shared" si="0"/>
        <v>8</v>
      </c>
      <c r="E57" s="6">
        <v>9768.1414571010737</v>
      </c>
      <c r="F57" s="6">
        <f t="shared" si="1"/>
        <v>9828.8510452254632</v>
      </c>
      <c r="G57" s="7">
        <v>-0.28000000000000003</v>
      </c>
      <c r="H57" s="7">
        <f t="shared" si="2"/>
        <v>-0.28000000000000003</v>
      </c>
      <c r="I57" s="7">
        <v>2</v>
      </c>
      <c r="J57" s="7">
        <f t="shared" si="3"/>
        <v>2</v>
      </c>
      <c r="K57" s="4" t="s">
        <v>149</v>
      </c>
      <c r="L57" s="4" t="s">
        <v>149</v>
      </c>
    </row>
    <row r="58" spans="1:12" ht="30" customHeight="1">
      <c r="A58" s="1" t="s">
        <v>204</v>
      </c>
      <c r="B58" s="4"/>
      <c r="C58" s="4" t="s">
        <v>29</v>
      </c>
      <c r="D58" s="5">
        <f t="shared" si="0"/>
        <v>7</v>
      </c>
      <c r="E58" s="6">
        <v>9828.8510452254632</v>
      </c>
      <c r="F58" s="6">
        <f t="shared" si="1"/>
        <v>9883.8510452254632</v>
      </c>
      <c r="G58" s="7">
        <v>-0.28000000000000003</v>
      </c>
      <c r="H58" s="7">
        <f t="shared" si="2"/>
        <v>-0.11</v>
      </c>
      <c r="I58" s="7">
        <v>2</v>
      </c>
      <c r="J58" s="7">
        <f t="shared" si="3"/>
        <v>2</v>
      </c>
      <c r="K58" s="4" t="s">
        <v>151</v>
      </c>
      <c r="L58" s="4" t="s">
        <v>149</v>
      </c>
    </row>
    <row r="59" spans="1:12" ht="30" customHeight="1">
      <c r="A59" s="1" t="s">
        <v>205</v>
      </c>
      <c r="B59" s="4"/>
      <c r="C59" s="4" t="s">
        <v>33</v>
      </c>
      <c r="D59" s="5">
        <f t="shared" si="0"/>
        <v>6</v>
      </c>
      <c r="E59" s="6">
        <v>9883.8510452254632</v>
      </c>
      <c r="F59" s="6">
        <f t="shared" si="1"/>
        <v>9908.8511107039594</v>
      </c>
      <c r="G59" s="7">
        <v>-0.11</v>
      </c>
      <c r="H59" s="7">
        <f t="shared" si="2"/>
        <v>-0.11</v>
      </c>
      <c r="I59" s="7">
        <v>2</v>
      </c>
      <c r="J59" s="7">
        <f t="shared" si="3"/>
        <v>2</v>
      </c>
      <c r="K59" s="4" t="s">
        <v>149</v>
      </c>
      <c r="L59" s="4" t="s">
        <v>149</v>
      </c>
    </row>
    <row r="60" spans="1:12" ht="30" customHeight="1">
      <c r="A60" s="1" t="s">
        <v>206</v>
      </c>
      <c r="B60" s="4" t="s">
        <v>100</v>
      </c>
      <c r="C60" s="4" t="s">
        <v>21</v>
      </c>
      <c r="D60" s="5">
        <f t="shared" si="0"/>
        <v>5</v>
      </c>
      <c r="E60" s="6">
        <v>9908.8511107039594</v>
      </c>
      <c r="F60" s="6">
        <f t="shared" si="1"/>
        <v>9938.8511107039594</v>
      </c>
      <c r="G60" s="7">
        <v>-0.11</v>
      </c>
      <c r="H60" s="7">
        <f t="shared" si="2"/>
        <v>-0.14000000000000001</v>
      </c>
      <c r="I60" s="7">
        <v>2</v>
      </c>
      <c r="J60" s="7">
        <f t="shared" si="3"/>
        <v>2</v>
      </c>
      <c r="K60" s="4" t="s">
        <v>151</v>
      </c>
      <c r="L60" s="4" t="s">
        <v>149</v>
      </c>
    </row>
    <row r="61" spans="1:12" ht="30" customHeight="1">
      <c r="A61" s="1" t="s">
        <v>207</v>
      </c>
      <c r="B61" s="4"/>
      <c r="C61" s="4" t="s">
        <v>25</v>
      </c>
      <c r="D61" s="5">
        <f t="shared" si="0"/>
        <v>4</v>
      </c>
      <c r="E61" s="6">
        <v>9938.8511107039594</v>
      </c>
      <c r="F61" s="6">
        <f t="shared" si="1"/>
        <v>9969.2965992767367</v>
      </c>
      <c r="G61" s="7">
        <v>-0.14000000000000001</v>
      </c>
      <c r="H61" s="7">
        <f t="shared" si="2"/>
        <v>-0.14000000000000001</v>
      </c>
      <c r="I61" s="7">
        <v>2</v>
      </c>
      <c r="J61" s="7">
        <f t="shared" si="3"/>
        <v>2</v>
      </c>
      <c r="K61" s="4" t="s">
        <v>149</v>
      </c>
      <c r="L61" s="4" t="s">
        <v>149</v>
      </c>
    </row>
    <row r="62" spans="1:12" ht="30" customHeight="1">
      <c r="A62" s="1" t="s">
        <v>208</v>
      </c>
      <c r="B62" s="4"/>
      <c r="C62" s="4" t="s">
        <v>29</v>
      </c>
      <c r="D62" s="5">
        <f t="shared" si="0"/>
        <v>3</v>
      </c>
      <c r="E62" s="6">
        <v>9969.2965992767367</v>
      </c>
      <c r="F62" s="6">
        <f t="shared" si="1"/>
        <v>9999.2965992767367</v>
      </c>
      <c r="G62" s="7">
        <v>-0.14000000000000001</v>
      </c>
      <c r="H62" s="7">
        <f t="shared" si="2"/>
        <v>-0.11</v>
      </c>
      <c r="I62" s="7">
        <v>2</v>
      </c>
      <c r="J62" s="7">
        <f t="shared" si="3"/>
        <v>2</v>
      </c>
      <c r="K62" s="4" t="s">
        <v>151</v>
      </c>
      <c r="L62" s="4" t="s">
        <v>149</v>
      </c>
    </row>
    <row r="63" spans="1:12" ht="30" customHeight="1">
      <c r="A63" s="1" t="s">
        <v>209</v>
      </c>
      <c r="B63" s="4"/>
      <c r="C63" s="4" t="s">
        <v>33</v>
      </c>
      <c r="D63" s="5">
        <f t="shared" si="0"/>
        <v>2</v>
      </c>
      <c r="E63" s="6">
        <v>9999.2965992767367</v>
      </c>
      <c r="F63" s="6">
        <f t="shared" si="1"/>
        <v>10324.339349976852</v>
      </c>
      <c r="G63" s="7">
        <v>-0.11</v>
      </c>
      <c r="H63" s="7">
        <f t="shared" si="2"/>
        <v>-0.11</v>
      </c>
      <c r="I63" s="7">
        <v>2</v>
      </c>
      <c r="J63" s="7">
        <f t="shared" si="3"/>
        <v>2</v>
      </c>
      <c r="K63" s="4" t="s">
        <v>149</v>
      </c>
      <c r="L63" s="4" t="s">
        <v>149</v>
      </c>
    </row>
    <row r="64" spans="1:12" ht="30" customHeight="1">
      <c r="A64" s="1" t="s">
        <v>210</v>
      </c>
      <c r="B64" s="4" t="s">
        <v>15</v>
      </c>
      <c r="C64" s="4" t="s">
        <v>105</v>
      </c>
      <c r="D64" s="5">
        <f t="shared" si="0"/>
        <v>1</v>
      </c>
      <c r="E64" s="6">
        <v>10324.339349976852</v>
      </c>
      <c r="F64" s="6">
        <f>E64+0.002</f>
        <v>10324.341349976852</v>
      </c>
      <c r="G64" s="7">
        <v>-0.11</v>
      </c>
      <c r="H64" s="7">
        <f>G64</f>
        <v>-0.11</v>
      </c>
      <c r="I64" s="7">
        <v>2</v>
      </c>
      <c r="J64" s="7">
        <f>I64</f>
        <v>2</v>
      </c>
      <c r="K64" s="4" t="s">
        <v>149</v>
      </c>
      <c r="L64" s="4" t="s">
        <v>149</v>
      </c>
    </row>
  </sheetData>
  <mergeCells count="2">
    <mergeCell ref="C2:E2"/>
    <mergeCell ref="B3:M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Main Pro.-Track AL</vt:lpstr>
      <vt:lpstr>Main Pro.-Tunnel AL</vt:lpstr>
      <vt:lpstr>HOR-ARRAY</vt:lpstr>
      <vt:lpstr>VER-ARRAY</vt:lpstr>
      <vt:lpstr>CANT-ARRAY</vt:lpstr>
      <vt:lpstr>TUA-ARRAY</vt:lpstr>
      <vt:lpstr>CANT_ARRAY</vt:lpstr>
      <vt:lpstr>HOR_ARRAY</vt:lpstr>
      <vt:lpstr>TUA_ARRAY</vt:lpstr>
      <vt:lpstr>VER_ARRAY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cp:lastPrinted>2023-01-11T07:05:30Z</cp:lastPrinted>
  <dcterms:created xsi:type="dcterms:W3CDTF">2021-04-25T03:32:38Z</dcterms:created>
  <dcterms:modified xsi:type="dcterms:W3CDTF">2024-04-22T08:58:35Z</dcterms:modified>
</cp:coreProperties>
</file>
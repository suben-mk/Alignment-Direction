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BEN\Downloads\"/>
    </mc:Choice>
  </mc:AlternateContent>
  <xr:revisionPtr revIDLastSave="0" documentId="13_ncr:1_{8A8566AE-37A8-4B20-BE54-534934B6BB7A}" xr6:coauthVersionLast="47" xr6:coauthVersionMax="47" xr10:uidLastSave="{00000000-0000-0000-0000-000000000000}"/>
  <bookViews>
    <workbookView xWindow="-108" yWindow="-108" windowWidth="23256" windowHeight="12456" xr2:uid="{1E80080D-5CCE-4627-B710-7C5D7F231B84}"/>
  </bookViews>
  <sheets>
    <sheet name="Main Pro.-CHOS to ENZ" sheetId="46" r:id="rId1"/>
    <sheet name="Main Pro.-ENZ to CHOS" sheetId="49" r:id="rId2"/>
    <sheet name="HOR-ARRAY" sheetId="42" r:id="rId3"/>
    <sheet name="VER-ARRAY" sheetId="43" r:id="rId4"/>
  </sheets>
  <functionGroups builtInGroupCount="19"/>
  <definedNames>
    <definedName name="HOR_ARRAY">'HOR-ARRAY'!$D$5:$K$64</definedName>
    <definedName name="VER_ARRAY">'VER-ARRAY'!$D$5:$M$26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49" l="1"/>
  <c r="D11" i="49"/>
  <c r="C14" i="49"/>
  <c r="D19" i="49"/>
  <c r="C22" i="49"/>
  <c r="D27" i="49"/>
  <c r="C30" i="49"/>
  <c r="D35" i="49"/>
  <c r="C38" i="49"/>
  <c r="D43" i="49"/>
  <c r="C46" i="49"/>
  <c r="D51" i="49"/>
  <c r="C54" i="49"/>
  <c r="D59" i="49"/>
  <c r="C62" i="49"/>
  <c r="D67" i="49"/>
  <c r="C70" i="49"/>
  <c r="D75" i="49"/>
  <c r="C78" i="49"/>
  <c r="D83" i="49"/>
  <c r="C86" i="49"/>
  <c r="D91" i="49"/>
  <c r="C94" i="49"/>
  <c r="D99" i="49"/>
  <c r="C102" i="49"/>
  <c r="D107" i="49"/>
  <c r="C110" i="49"/>
  <c r="D115" i="49"/>
  <c r="C118" i="49"/>
  <c r="D123" i="49"/>
  <c r="C126" i="49"/>
  <c r="C27" i="49"/>
  <c r="C43" i="49"/>
  <c r="C59" i="49"/>
  <c r="D72" i="49"/>
  <c r="D88" i="49"/>
  <c r="D104" i="49"/>
  <c r="D120" i="49"/>
  <c r="D6" i="49"/>
  <c r="C9" i="49"/>
  <c r="D14" i="49"/>
  <c r="C17" i="49"/>
  <c r="D22" i="49"/>
  <c r="C25" i="49"/>
  <c r="E27" i="49"/>
  <c r="D30" i="49"/>
  <c r="C33" i="49"/>
  <c r="D38" i="49"/>
  <c r="C41" i="49"/>
  <c r="E43" i="49"/>
  <c r="D46" i="49"/>
  <c r="C49" i="49"/>
  <c r="D54" i="49"/>
  <c r="C57" i="49"/>
  <c r="E59" i="49"/>
  <c r="D62" i="49"/>
  <c r="C65" i="49"/>
  <c r="D70" i="49"/>
  <c r="C73" i="49"/>
  <c r="D78" i="49"/>
  <c r="C81" i="49"/>
  <c r="D86" i="49"/>
  <c r="C89" i="49"/>
  <c r="D94" i="49"/>
  <c r="C97" i="49"/>
  <c r="D102" i="49"/>
  <c r="C105" i="49"/>
  <c r="D110" i="49"/>
  <c r="C113" i="49"/>
  <c r="D118" i="49"/>
  <c r="C121" i="49"/>
  <c r="D126" i="49"/>
  <c r="C129" i="49"/>
  <c r="E126" i="49"/>
  <c r="D92" i="49"/>
  <c r="E105" i="49"/>
  <c r="E113" i="49"/>
  <c r="C119" i="49"/>
  <c r="C127" i="49"/>
  <c r="E127" i="49" s="1"/>
  <c r="D58" i="49"/>
  <c r="C69" i="49"/>
  <c r="D90" i="49"/>
  <c r="D98" i="49"/>
  <c r="C109" i="49"/>
  <c r="D122" i="49"/>
  <c r="C19" i="49"/>
  <c r="E19" i="49" s="1"/>
  <c r="D56" i="49"/>
  <c r="E69" i="49"/>
  <c r="C99" i="49"/>
  <c r="E99" i="49" s="1"/>
  <c r="C115" i="49"/>
  <c r="E115" i="49" s="1"/>
  <c r="E6" i="49"/>
  <c r="D9" i="49"/>
  <c r="C12" i="49"/>
  <c r="E14" i="49"/>
  <c r="D17" i="49"/>
  <c r="C20" i="49"/>
  <c r="E22" i="49"/>
  <c r="D25" i="49"/>
  <c r="C28" i="49"/>
  <c r="E30" i="49"/>
  <c r="D33" i="49"/>
  <c r="C36" i="49"/>
  <c r="E38" i="49"/>
  <c r="D41" i="49"/>
  <c r="C44" i="49"/>
  <c r="E46" i="49"/>
  <c r="D49" i="49"/>
  <c r="C52" i="49"/>
  <c r="E54" i="49"/>
  <c r="D57" i="49"/>
  <c r="C60" i="49"/>
  <c r="E62" i="49"/>
  <c r="D65" i="49"/>
  <c r="C68" i="49"/>
  <c r="E70" i="49"/>
  <c r="D73" i="49"/>
  <c r="C76" i="49"/>
  <c r="E78" i="49"/>
  <c r="D81" i="49"/>
  <c r="C84" i="49"/>
  <c r="E86" i="49"/>
  <c r="D89" i="49"/>
  <c r="C92" i="49"/>
  <c r="E94" i="49"/>
  <c r="D97" i="49"/>
  <c r="C100" i="49"/>
  <c r="E102" i="49"/>
  <c r="D105" i="49"/>
  <c r="C108" i="49"/>
  <c r="E110" i="49"/>
  <c r="D113" i="49"/>
  <c r="C116" i="49"/>
  <c r="E118" i="49"/>
  <c r="D121" i="49"/>
  <c r="C124" i="49"/>
  <c r="D129" i="49"/>
  <c r="C95" i="49"/>
  <c r="C103" i="49"/>
  <c r="C111" i="49"/>
  <c r="E111" i="49" s="1"/>
  <c r="E121" i="49"/>
  <c r="E129" i="49"/>
  <c r="C61" i="49"/>
  <c r="C85" i="49"/>
  <c r="E85" i="49" s="1"/>
  <c r="E95" i="49"/>
  <c r="D106" i="49"/>
  <c r="C117" i="49"/>
  <c r="D130" i="49"/>
  <c r="C83" i="49"/>
  <c r="E83" i="49" s="1"/>
  <c r="C107" i="49"/>
  <c r="E107" i="49" s="1"/>
  <c r="E117" i="49"/>
  <c r="C7" i="49"/>
  <c r="E9" i="49"/>
  <c r="D12" i="49"/>
  <c r="C15" i="49"/>
  <c r="E17" i="49"/>
  <c r="D20" i="49"/>
  <c r="C23" i="49"/>
  <c r="E25" i="49"/>
  <c r="D28" i="49"/>
  <c r="C31" i="49"/>
  <c r="E33" i="49"/>
  <c r="D36" i="49"/>
  <c r="C39" i="49"/>
  <c r="E39" i="49" s="1"/>
  <c r="E41" i="49"/>
  <c r="D44" i="49"/>
  <c r="C47" i="49"/>
  <c r="E47" i="49" s="1"/>
  <c r="E49" i="49"/>
  <c r="D52" i="49"/>
  <c r="C55" i="49"/>
  <c r="E57" i="49"/>
  <c r="D60" i="49"/>
  <c r="C63" i="49"/>
  <c r="E65" i="49"/>
  <c r="D68" i="49"/>
  <c r="C71" i="49"/>
  <c r="E71" i="49" s="1"/>
  <c r="E73" i="49"/>
  <c r="D76" i="49"/>
  <c r="C79" i="49"/>
  <c r="E79" i="49" s="1"/>
  <c r="E81" i="49"/>
  <c r="D84" i="49"/>
  <c r="C87" i="49"/>
  <c r="E89" i="49"/>
  <c r="E97" i="49"/>
  <c r="D100" i="49"/>
  <c r="D108" i="49"/>
  <c r="D116" i="49"/>
  <c r="D124" i="49"/>
  <c r="D42" i="49"/>
  <c r="E55" i="49"/>
  <c r="D66" i="49"/>
  <c r="C77" i="49"/>
  <c r="C93" i="49"/>
  <c r="C101" i="49"/>
  <c r="D114" i="49"/>
  <c r="C125" i="49"/>
  <c r="D24" i="49"/>
  <c r="E61" i="49"/>
  <c r="E77" i="49"/>
  <c r="E93" i="49"/>
  <c r="E109" i="49"/>
  <c r="E125" i="49"/>
  <c r="D7" i="49"/>
  <c r="C10" i="49"/>
  <c r="E12" i="49"/>
  <c r="D15" i="49"/>
  <c r="C18" i="49"/>
  <c r="E20" i="49"/>
  <c r="D23" i="49"/>
  <c r="C26" i="49"/>
  <c r="E28" i="49"/>
  <c r="D31" i="49"/>
  <c r="C34" i="49"/>
  <c r="E36" i="49"/>
  <c r="D39" i="49"/>
  <c r="C42" i="49"/>
  <c r="E44" i="49"/>
  <c r="D47" i="49"/>
  <c r="C50" i="49"/>
  <c r="E52" i="49"/>
  <c r="D55" i="49"/>
  <c r="C58" i="49"/>
  <c r="E60" i="49"/>
  <c r="D63" i="49"/>
  <c r="C66" i="49"/>
  <c r="E68" i="49"/>
  <c r="D71" i="49"/>
  <c r="C74" i="49"/>
  <c r="E76" i="49"/>
  <c r="D79" i="49"/>
  <c r="C82" i="49"/>
  <c r="E84" i="49"/>
  <c r="D87" i="49"/>
  <c r="C90" i="49"/>
  <c r="E92" i="49"/>
  <c r="D95" i="49"/>
  <c r="C98" i="49"/>
  <c r="E100" i="49"/>
  <c r="D103" i="49"/>
  <c r="C106" i="49"/>
  <c r="E108" i="49"/>
  <c r="D111" i="49"/>
  <c r="C114" i="49"/>
  <c r="E116" i="49"/>
  <c r="D119" i="49"/>
  <c r="C122" i="49"/>
  <c r="E124" i="49"/>
  <c r="D127" i="49"/>
  <c r="C130" i="49"/>
  <c r="E7" i="49"/>
  <c r="D10" i="49"/>
  <c r="C13" i="49"/>
  <c r="E15" i="49"/>
  <c r="D18" i="49"/>
  <c r="C21" i="49"/>
  <c r="E23" i="49"/>
  <c r="D26" i="49"/>
  <c r="C29" i="49"/>
  <c r="E29" i="49" s="1"/>
  <c r="E31" i="49"/>
  <c r="D34" i="49"/>
  <c r="C37" i="49"/>
  <c r="E37" i="49" s="1"/>
  <c r="C45" i="49"/>
  <c r="E45" i="49" s="1"/>
  <c r="D50" i="49"/>
  <c r="C53" i="49"/>
  <c r="E53" i="49" s="1"/>
  <c r="E63" i="49"/>
  <c r="D74" i="49"/>
  <c r="D82" i="49"/>
  <c r="E87" i="49"/>
  <c r="E103" i="49"/>
  <c r="E119" i="49"/>
  <c r="D16" i="49"/>
  <c r="C35" i="49"/>
  <c r="E35" i="49" s="1"/>
  <c r="D48" i="49"/>
  <c r="D64" i="49"/>
  <c r="C75" i="49"/>
  <c r="E75" i="49" s="1"/>
  <c r="C91" i="49"/>
  <c r="E91" i="49" s="1"/>
  <c r="E101" i="49"/>
  <c r="C123" i="49"/>
  <c r="E123" i="49" s="1"/>
  <c r="C8" i="49"/>
  <c r="E8" i="49" s="1"/>
  <c r="E10" i="49"/>
  <c r="D13" i="49"/>
  <c r="C16" i="49"/>
  <c r="E16" i="49" s="1"/>
  <c r="E18" i="49"/>
  <c r="D21" i="49"/>
  <c r="C24" i="49"/>
  <c r="E24" i="49" s="1"/>
  <c r="E26" i="49"/>
  <c r="D29" i="49"/>
  <c r="C32" i="49"/>
  <c r="E32" i="49" s="1"/>
  <c r="E34" i="49"/>
  <c r="D37" i="49"/>
  <c r="C40" i="49"/>
  <c r="E40" i="49" s="1"/>
  <c r="E42" i="49"/>
  <c r="D45" i="49"/>
  <c r="C48" i="49"/>
  <c r="E48" i="49" s="1"/>
  <c r="E50" i="49"/>
  <c r="D53" i="49"/>
  <c r="C56" i="49"/>
  <c r="E56" i="49" s="1"/>
  <c r="E58" i="49"/>
  <c r="D61" i="49"/>
  <c r="C64" i="49"/>
  <c r="E64" i="49" s="1"/>
  <c r="E66" i="49"/>
  <c r="D69" i="49"/>
  <c r="C72" i="49"/>
  <c r="E72" i="49" s="1"/>
  <c r="E74" i="49"/>
  <c r="D77" i="49"/>
  <c r="C80" i="49"/>
  <c r="E80" i="49" s="1"/>
  <c r="E82" i="49"/>
  <c r="D85" i="49"/>
  <c r="C88" i="49"/>
  <c r="E88" i="49" s="1"/>
  <c r="E90" i="49"/>
  <c r="D93" i="49"/>
  <c r="C96" i="49"/>
  <c r="E96" i="49" s="1"/>
  <c r="E98" i="49"/>
  <c r="D101" i="49"/>
  <c r="C104" i="49"/>
  <c r="E104" i="49" s="1"/>
  <c r="E106" i="49"/>
  <c r="D109" i="49"/>
  <c r="C112" i="49"/>
  <c r="E112" i="49" s="1"/>
  <c r="E114" i="49"/>
  <c r="D117" i="49"/>
  <c r="C120" i="49"/>
  <c r="E120" i="49" s="1"/>
  <c r="E122" i="49"/>
  <c r="D125" i="49"/>
  <c r="C128" i="49"/>
  <c r="E128" i="49" s="1"/>
  <c r="E130" i="49"/>
  <c r="D8" i="49"/>
  <c r="C11" i="49"/>
  <c r="E11" i="49" s="1"/>
  <c r="E13" i="49"/>
  <c r="E21" i="49"/>
  <c r="D32" i="49"/>
  <c r="D40" i="49"/>
  <c r="C51" i="49"/>
  <c r="E51" i="49" s="1"/>
  <c r="C67" i="49"/>
  <c r="E67" i="49" s="1"/>
  <c r="D80" i="49"/>
  <c r="D96" i="49"/>
  <c r="D112" i="49"/>
  <c r="D128" i="49"/>
  <c r="E5" i="49"/>
  <c r="D5" i="49"/>
  <c r="C5" i="49"/>
  <c r="L130" i="49"/>
  <c r="K129" i="49"/>
  <c r="J128" i="49"/>
  <c r="I127" i="49"/>
  <c r="L122" i="49"/>
  <c r="K121" i="49"/>
  <c r="J120" i="49"/>
  <c r="I119" i="49"/>
  <c r="L114" i="49"/>
  <c r="K113" i="49"/>
  <c r="J112" i="49"/>
  <c r="I111" i="49"/>
  <c r="L106" i="49"/>
  <c r="K105" i="49"/>
  <c r="J104" i="49"/>
  <c r="I103" i="49"/>
  <c r="L98" i="49"/>
  <c r="K97" i="49"/>
  <c r="J96" i="49"/>
  <c r="I95" i="49"/>
  <c r="L90" i="49"/>
  <c r="K89" i="49"/>
  <c r="J88" i="49"/>
  <c r="I87" i="49"/>
  <c r="L82" i="49"/>
  <c r="K81" i="49"/>
  <c r="J80" i="49"/>
  <c r="I79" i="49"/>
  <c r="L74" i="49"/>
  <c r="K73" i="49"/>
  <c r="J72" i="49"/>
  <c r="I71" i="49"/>
  <c r="L66" i="49"/>
  <c r="K65" i="49"/>
  <c r="J64" i="49"/>
  <c r="I63" i="49"/>
  <c r="L58" i="49"/>
  <c r="K57" i="49"/>
  <c r="J56" i="49"/>
  <c r="I55" i="49"/>
  <c r="L50" i="49"/>
  <c r="K49" i="49"/>
  <c r="J48" i="49"/>
  <c r="I47" i="49"/>
  <c r="L42" i="49"/>
  <c r="K41" i="49"/>
  <c r="J40" i="49"/>
  <c r="I39" i="49"/>
  <c r="L34" i="49"/>
  <c r="K33" i="49"/>
  <c r="J32" i="49"/>
  <c r="I31" i="49"/>
  <c r="L26" i="49"/>
  <c r="K25" i="49"/>
  <c r="J24" i="49"/>
  <c r="I23" i="49"/>
  <c r="L18" i="49"/>
  <c r="K17" i="49"/>
  <c r="J16" i="49"/>
  <c r="I15" i="49"/>
  <c r="L10" i="49"/>
  <c r="K9" i="49"/>
  <c r="J8" i="49"/>
  <c r="I7" i="49"/>
  <c r="L12" i="49"/>
  <c r="L13" i="49"/>
  <c r="I10" i="49"/>
  <c r="J12" i="49"/>
  <c r="K5" i="49"/>
  <c r="L127" i="49"/>
  <c r="J125" i="49"/>
  <c r="K118" i="49"/>
  <c r="K110" i="49"/>
  <c r="K102" i="49"/>
  <c r="K130" i="49"/>
  <c r="J129" i="49"/>
  <c r="I128" i="49"/>
  <c r="L123" i="49"/>
  <c r="K122" i="49"/>
  <c r="J121" i="49"/>
  <c r="I120" i="49"/>
  <c r="L115" i="49"/>
  <c r="K114" i="49"/>
  <c r="J113" i="49"/>
  <c r="I112" i="49"/>
  <c r="L107" i="49"/>
  <c r="K106" i="49"/>
  <c r="J105" i="49"/>
  <c r="I104" i="49"/>
  <c r="L99" i="49"/>
  <c r="K98" i="49"/>
  <c r="J97" i="49"/>
  <c r="I96" i="49"/>
  <c r="L91" i="49"/>
  <c r="K90" i="49"/>
  <c r="J89" i="49"/>
  <c r="I88" i="49"/>
  <c r="L83" i="49"/>
  <c r="K82" i="49"/>
  <c r="J81" i="49"/>
  <c r="I80" i="49"/>
  <c r="L75" i="49"/>
  <c r="K74" i="49"/>
  <c r="J73" i="49"/>
  <c r="I72" i="49"/>
  <c r="L67" i="49"/>
  <c r="K66" i="49"/>
  <c r="J65" i="49"/>
  <c r="I64" i="49"/>
  <c r="L59" i="49"/>
  <c r="K58" i="49"/>
  <c r="J57" i="49"/>
  <c r="I56" i="49"/>
  <c r="L51" i="49"/>
  <c r="K50" i="49"/>
  <c r="J49" i="49"/>
  <c r="I48" i="49"/>
  <c r="L43" i="49"/>
  <c r="K42" i="49"/>
  <c r="J41" i="49"/>
  <c r="I40" i="49"/>
  <c r="L35" i="49"/>
  <c r="K34" i="49"/>
  <c r="J33" i="49"/>
  <c r="I32" i="49"/>
  <c r="L27" i="49"/>
  <c r="K26" i="49"/>
  <c r="J25" i="49"/>
  <c r="I24" i="49"/>
  <c r="L19" i="49"/>
  <c r="K18" i="49"/>
  <c r="J17" i="49"/>
  <c r="I16" i="49"/>
  <c r="L11" i="49"/>
  <c r="K10" i="49"/>
  <c r="J9" i="49"/>
  <c r="I8" i="49"/>
  <c r="J10" i="49"/>
  <c r="K12" i="49"/>
  <c r="L5" i="49"/>
  <c r="K13" i="49"/>
  <c r="L6" i="49"/>
  <c r="I124" i="49"/>
  <c r="J117" i="49"/>
  <c r="L111" i="49"/>
  <c r="I108" i="49"/>
  <c r="J130" i="49"/>
  <c r="I129" i="49"/>
  <c r="L124" i="49"/>
  <c r="K123" i="49"/>
  <c r="J122" i="49"/>
  <c r="I121" i="49"/>
  <c r="L116" i="49"/>
  <c r="K115" i="49"/>
  <c r="J114" i="49"/>
  <c r="I113" i="49"/>
  <c r="L108" i="49"/>
  <c r="K107" i="49"/>
  <c r="J106" i="49"/>
  <c r="I105" i="49"/>
  <c r="L100" i="49"/>
  <c r="K99" i="49"/>
  <c r="J98" i="49"/>
  <c r="I97" i="49"/>
  <c r="L92" i="49"/>
  <c r="K91" i="49"/>
  <c r="J90" i="49"/>
  <c r="I89" i="49"/>
  <c r="L84" i="49"/>
  <c r="K83" i="49"/>
  <c r="J82" i="49"/>
  <c r="I81" i="49"/>
  <c r="L76" i="49"/>
  <c r="K75" i="49"/>
  <c r="J74" i="49"/>
  <c r="I73" i="49"/>
  <c r="L68" i="49"/>
  <c r="K67" i="49"/>
  <c r="J66" i="49"/>
  <c r="I65" i="49"/>
  <c r="L60" i="49"/>
  <c r="K59" i="49"/>
  <c r="J58" i="49"/>
  <c r="I57" i="49"/>
  <c r="L52" i="49"/>
  <c r="K51" i="49"/>
  <c r="J50" i="49"/>
  <c r="I49" i="49"/>
  <c r="L44" i="49"/>
  <c r="K43" i="49"/>
  <c r="J42" i="49"/>
  <c r="I41" i="49"/>
  <c r="L36" i="49"/>
  <c r="K35" i="49"/>
  <c r="J34" i="49"/>
  <c r="I33" i="49"/>
  <c r="L28" i="49"/>
  <c r="K27" i="49"/>
  <c r="J26" i="49"/>
  <c r="I25" i="49"/>
  <c r="L20" i="49"/>
  <c r="K19" i="49"/>
  <c r="J18" i="49"/>
  <c r="I17" i="49"/>
  <c r="K11" i="49"/>
  <c r="I9" i="49"/>
  <c r="J11" i="49"/>
  <c r="I11" i="49"/>
  <c r="L119" i="49"/>
  <c r="I116" i="49"/>
  <c r="J109" i="49"/>
  <c r="L103" i="49"/>
  <c r="I130" i="49"/>
  <c r="L125" i="49"/>
  <c r="K124" i="49"/>
  <c r="J123" i="49"/>
  <c r="I122" i="49"/>
  <c r="L117" i="49"/>
  <c r="K116" i="49"/>
  <c r="J115" i="49"/>
  <c r="I114" i="49"/>
  <c r="L109" i="49"/>
  <c r="K108" i="49"/>
  <c r="J107" i="49"/>
  <c r="I106" i="49"/>
  <c r="L101" i="49"/>
  <c r="K100" i="49"/>
  <c r="J99" i="49"/>
  <c r="I98" i="49"/>
  <c r="L93" i="49"/>
  <c r="K92" i="49"/>
  <c r="J91" i="49"/>
  <c r="I90" i="49"/>
  <c r="L85" i="49"/>
  <c r="K84" i="49"/>
  <c r="J83" i="49"/>
  <c r="I82" i="49"/>
  <c r="L77" i="49"/>
  <c r="K76" i="49"/>
  <c r="J75" i="49"/>
  <c r="I74" i="49"/>
  <c r="L69" i="49"/>
  <c r="K68" i="49"/>
  <c r="J67" i="49"/>
  <c r="I66" i="49"/>
  <c r="L61" i="49"/>
  <c r="K60" i="49"/>
  <c r="J59" i="49"/>
  <c r="I58" i="49"/>
  <c r="L53" i="49"/>
  <c r="K52" i="49"/>
  <c r="J51" i="49"/>
  <c r="I50" i="49"/>
  <c r="L45" i="49"/>
  <c r="K44" i="49"/>
  <c r="J43" i="49"/>
  <c r="I42" i="49"/>
  <c r="L37" i="49"/>
  <c r="K36" i="49"/>
  <c r="J35" i="49"/>
  <c r="I34" i="49"/>
  <c r="L29" i="49"/>
  <c r="K28" i="49"/>
  <c r="J27" i="49"/>
  <c r="I26" i="49"/>
  <c r="L21" i="49"/>
  <c r="K20" i="49"/>
  <c r="J19" i="49"/>
  <c r="I18" i="49"/>
  <c r="L126" i="49"/>
  <c r="K125" i="49"/>
  <c r="J124" i="49"/>
  <c r="I123" i="49"/>
  <c r="L118" i="49"/>
  <c r="K117" i="49"/>
  <c r="J116" i="49"/>
  <c r="I115" i="49"/>
  <c r="L110" i="49"/>
  <c r="K109" i="49"/>
  <c r="J108" i="49"/>
  <c r="I107" i="49"/>
  <c r="L102" i="49"/>
  <c r="K101" i="49"/>
  <c r="J100" i="49"/>
  <c r="I99" i="49"/>
  <c r="L94" i="49"/>
  <c r="K93" i="49"/>
  <c r="J92" i="49"/>
  <c r="I91" i="49"/>
  <c r="L86" i="49"/>
  <c r="K85" i="49"/>
  <c r="J84" i="49"/>
  <c r="I83" i="49"/>
  <c r="L78" i="49"/>
  <c r="K77" i="49"/>
  <c r="J76" i="49"/>
  <c r="I75" i="49"/>
  <c r="L70" i="49"/>
  <c r="K69" i="49"/>
  <c r="J68" i="49"/>
  <c r="I67" i="49"/>
  <c r="L62" i="49"/>
  <c r="K61" i="49"/>
  <c r="J60" i="49"/>
  <c r="I59" i="49"/>
  <c r="L54" i="49"/>
  <c r="K53" i="49"/>
  <c r="J52" i="49"/>
  <c r="I51" i="49"/>
  <c r="L46" i="49"/>
  <c r="K45" i="49"/>
  <c r="J44" i="49"/>
  <c r="I43" i="49"/>
  <c r="L38" i="49"/>
  <c r="K37" i="49"/>
  <c r="J36" i="49"/>
  <c r="I35" i="49"/>
  <c r="L30" i="49"/>
  <c r="K29" i="49"/>
  <c r="J28" i="49"/>
  <c r="I27" i="49"/>
  <c r="L22" i="49"/>
  <c r="K21" i="49"/>
  <c r="J20" i="49"/>
  <c r="I19" i="49"/>
  <c r="L14" i="49"/>
  <c r="K126" i="49"/>
  <c r="J101" i="49"/>
  <c r="L128" i="49"/>
  <c r="K127" i="49"/>
  <c r="J126" i="49"/>
  <c r="I125" i="49"/>
  <c r="L120" i="49"/>
  <c r="K119" i="49"/>
  <c r="J118" i="49"/>
  <c r="I117" i="49"/>
  <c r="L112" i="49"/>
  <c r="K111" i="49"/>
  <c r="J110" i="49"/>
  <c r="I109" i="49"/>
  <c r="L104" i="49"/>
  <c r="K103" i="49"/>
  <c r="J102" i="49"/>
  <c r="I101" i="49"/>
  <c r="L96" i="49"/>
  <c r="K95" i="49"/>
  <c r="J94" i="49"/>
  <c r="I93" i="49"/>
  <c r="L88" i="49"/>
  <c r="K87" i="49"/>
  <c r="J86" i="49"/>
  <c r="I85" i="49"/>
  <c r="L80" i="49"/>
  <c r="K79" i="49"/>
  <c r="J78" i="49"/>
  <c r="I77" i="49"/>
  <c r="L72" i="49"/>
  <c r="K71" i="49"/>
  <c r="J70" i="49"/>
  <c r="I69" i="49"/>
  <c r="L64" i="49"/>
  <c r="K63" i="49"/>
  <c r="J62" i="49"/>
  <c r="I61" i="49"/>
  <c r="L56" i="49"/>
  <c r="K55" i="49"/>
  <c r="J54" i="49"/>
  <c r="I53" i="49"/>
  <c r="L48" i="49"/>
  <c r="K47" i="49"/>
  <c r="J46" i="49"/>
  <c r="I45" i="49"/>
  <c r="L40" i="49"/>
  <c r="K39" i="49"/>
  <c r="J38" i="49"/>
  <c r="I37" i="49"/>
  <c r="L32" i="49"/>
  <c r="K31" i="49"/>
  <c r="J30" i="49"/>
  <c r="I29" i="49"/>
  <c r="L24" i="49"/>
  <c r="K23" i="49"/>
  <c r="J22" i="49"/>
  <c r="I21" i="49"/>
  <c r="L16" i="49"/>
  <c r="K15" i="49"/>
  <c r="J14" i="49"/>
  <c r="I13" i="49"/>
  <c r="L8" i="49"/>
  <c r="K7" i="49"/>
  <c r="J6" i="49"/>
  <c r="I5" i="49"/>
  <c r="L129" i="49"/>
  <c r="K120" i="49"/>
  <c r="J111" i="49"/>
  <c r="I102" i="49"/>
  <c r="L95" i="49"/>
  <c r="K86" i="49"/>
  <c r="J77" i="49"/>
  <c r="I68" i="49"/>
  <c r="L63" i="49"/>
  <c r="K54" i="49"/>
  <c r="J45" i="49"/>
  <c r="I36" i="49"/>
  <c r="L31" i="49"/>
  <c r="K22" i="49"/>
  <c r="J13" i="49"/>
  <c r="K8" i="49"/>
  <c r="I12" i="49"/>
  <c r="J7" i="49"/>
  <c r="J93" i="49"/>
  <c r="K70" i="49"/>
  <c r="I52" i="49"/>
  <c r="I20" i="49"/>
  <c r="J79" i="49"/>
  <c r="L33" i="49"/>
  <c r="J15" i="49"/>
  <c r="L73" i="49"/>
  <c r="K32" i="49"/>
  <c r="L9" i="49"/>
  <c r="K128" i="49"/>
  <c r="J119" i="49"/>
  <c r="I110" i="49"/>
  <c r="J95" i="49"/>
  <c r="I86" i="49"/>
  <c r="L81" i="49"/>
  <c r="K72" i="49"/>
  <c r="J63" i="49"/>
  <c r="I54" i="49"/>
  <c r="L49" i="49"/>
  <c r="K40" i="49"/>
  <c r="J31" i="49"/>
  <c r="I22" i="49"/>
  <c r="L17" i="49"/>
  <c r="L7" i="49"/>
  <c r="J39" i="49"/>
  <c r="K16" i="49"/>
  <c r="L79" i="49"/>
  <c r="J61" i="49"/>
  <c r="L15" i="49"/>
  <c r="K88" i="49"/>
  <c r="L65" i="49"/>
  <c r="J47" i="49"/>
  <c r="I6" i="49"/>
  <c r="L41" i="49"/>
  <c r="J23" i="49"/>
  <c r="J127" i="49"/>
  <c r="I118" i="49"/>
  <c r="I100" i="49"/>
  <c r="K94" i="49"/>
  <c r="J85" i="49"/>
  <c r="I76" i="49"/>
  <c r="L71" i="49"/>
  <c r="K62" i="49"/>
  <c r="J53" i="49"/>
  <c r="I44" i="49"/>
  <c r="L39" i="49"/>
  <c r="K30" i="49"/>
  <c r="J21" i="49"/>
  <c r="L25" i="49"/>
  <c r="I84" i="49"/>
  <c r="L47" i="49"/>
  <c r="J29" i="49"/>
  <c r="K6" i="49"/>
  <c r="L105" i="49"/>
  <c r="K56" i="49"/>
  <c r="I38" i="49"/>
  <c r="I78" i="49"/>
  <c r="J55" i="49"/>
  <c r="I126" i="49"/>
  <c r="I94" i="49"/>
  <c r="L89" i="49"/>
  <c r="K80" i="49"/>
  <c r="J71" i="49"/>
  <c r="I62" i="49"/>
  <c r="L57" i="49"/>
  <c r="K48" i="49"/>
  <c r="I30" i="49"/>
  <c r="K38" i="49"/>
  <c r="I70" i="49"/>
  <c r="K24" i="49"/>
  <c r="I14" i="49"/>
  <c r="L113" i="49"/>
  <c r="K104" i="49"/>
  <c r="L97" i="49"/>
  <c r="I92" i="49"/>
  <c r="L87" i="49"/>
  <c r="K78" i="49"/>
  <c r="J69" i="49"/>
  <c r="I60" i="49"/>
  <c r="L55" i="49"/>
  <c r="K46" i="49"/>
  <c r="J37" i="49"/>
  <c r="I28" i="49"/>
  <c r="L23" i="49"/>
  <c r="K14" i="49"/>
  <c r="J5" i="49"/>
  <c r="L121" i="49"/>
  <c r="K112" i="49"/>
  <c r="J103" i="49"/>
  <c r="K96" i="49"/>
  <c r="J87" i="49"/>
  <c r="K64" i="49"/>
  <c r="I46" i="49"/>
  <c r="I6" i="46"/>
  <c r="I14" i="46"/>
  <c r="I22" i="46"/>
  <c r="I30" i="46"/>
  <c r="I38" i="46"/>
  <c r="I46" i="46"/>
  <c r="I54" i="46"/>
  <c r="I62" i="46"/>
  <c r="I70" i="46"/>
  <c r="I78" i="46"/>
  <c r="I86" i="46"/>
  <c r="I94" i="46"/>
  <c r="I102" i="46"/>
  <c r="I110" i="46"/>
  <c r="I118" i="46"/>
  <c r="I126" i="46"/>
  <c r="I79" i="46"/>
  <c r="I87" i="46"/>
  <c r="I95" i="46"/>
  <c r="I103" i="46"/>
  <c r="I111" i="46"/>
  <c r="I127" i="46"/>
  <c r="I44" i="46"/>
  <c r="I84" i="46"/>
  <c r="I124" i="46"/>
  <c r="I45" i="46"/>
  <c r="I85" i="46"/>
  <c r="I7" i="46"/>
  <c r="I15" i="46"/>
  <c r="I23" i="46"/>
  <c r="I31" i="46"/>
  <c r="I39" i="46"/>
  <c r="I47" i="46"/>
  <c r="I55" i="46"/>
  <c r="I63" i="46"/>
  <c r="I71" i="46"/>
  <c r="I119" i="46"/>
  <c r="I36" i="46"/>
  <c r="I76" i="46"/>
  <c r="I100" i="46"/>
  <c r="I13" i="46"/>
  <c r="I53" i="46"/>
  <c r="I93" i="46"/>
  <c r="I117" i="46"/>
  <c r="I8" i="46"/>
  <c r="I16" i="46"/>
  <c r="I24" i="46"/>
  <c r="I32" i="46"/>
  <c r="I40" i="46"/>
  <c r="I48" i="46"/>
  <c r="I56" i="46"/>
  <c r="I64" i="46"/>
  <c r="I72" i="46"/>
  <c r="I80" i="46"/>
  <c r="I88" i="46"/>
  <c r="I96" i="46"/>
  <c r="I104" i="46"/>
  <c r="I112" i="46"/>
  <c r="I120" i="46"/>
  <c r="I128" i="46"/>
  <c r="I19" i="46"/>
  <c r="I43" i="46"/>
  <c r="I59" i="46"/>
  <c r="I83" i="46"/>
  <c r="I107" i="46"/>
  <c r="I12" i="46"/>
  <c r="I68" i="46"/>
  <c r="I116" i="46"/>
  <c r="I29" i="46"/>
  <c r="I77" i="46"/>
  <c r="I125" i="46"/>
  <c r="I9" i="46"/>
  <c r="I17" i="46"/>
  <c r="I25" i="46"/>
  <c r="I33" i="46"/>
  <c r="I41" i="46"/>
  <c r="I49" i="46"/>
  <c r="I57" i="46"/>
  <c r="I65" i="46"/>
  <c r="I73" i="46"/>
  <c r="I81" i="46"/>
  <c r="I89" i="46"/>
  <c r="I97" i="46"/>
  <c r="I105" i="46"/>
  <c r="I113" i="46"/>
  <c r="I121" i="46"/>
  <c r="I129" i="46"/>
  <c r="I27" i="46"/>
  <c r="I51" i="46"/>
  <c r="I75" i="46"/>
  <c r="I99" i="46"/>
  <c r="I123" i="46"/>
  <c r="I20" i="46"/>
  <c r="I60" i="46"/>
  <c r="I108" i="46"/>
  <c r="I37" i="46"/>
  <c r="I69" i="46"/>
  <c r="I109" i="46"/>
  <c r="I10" i="46"/>
  <c r="I18" i="46"/>
  <c r="I26" i="46"/>
  <c r="I34" i="46"/>
  <c r="I42" i="46"/>
  <c r="I50" i="46"/>
  <c r="I58" i="46"/>
  <c r="I66" i="46"/>
  <c r="I74" i="46"/>
  <c r="I82" i="46"/>
  <c r="I90" i="46"/>
  <c r="I98" i="46"/>
  <c r="I106" i="46"/>
  <c r="I114" i="46"/>
  <c r="I122" i="46"/>
  <c r="I130" i="46"/>
  <c r="I11" i="46"/>
  <c r="I35" i="46"/>
  <c r="I67" i="46"/>
  <c r="I91" i="46"/>
  <c r="I115" i="46"/>
  <c r="I28" i="46"/>
  <c r="I52" i="46"/>
  <c r="I92" i="46"/>
  <c r="I21" i="46"/>
  <c r="I61" i="46"/>
  <c r="I101" i="46"/>
  <c r="I5" i="46"/>
  <c r="J5" i="46" s="1"/>
  <c r="H6" i="46"/>
  <c r="H14" i="46"/>
  <c r="H22" i="46"/>
  <c r="H30" i="46"/>
  <c r="H38" i="46"/>
  <c r="H46" i="46"/>
  <c r="H70" i="46"/>
  <c r="H94" i="46"/>
  <c r="H118" i="46"/>
  <c r="H7" i="46"/>
  <c r="H15" i="46"/>
  <c r="H23" i="46"/>
  <c r="H31" i="46"/>
  <c r="H39" i="46"/>
  <c r="H47" i="46"/>
  <c r="H55" i="46"/>
  <c r="H63" i="46"/>
  <c r="H71" i="46"/>
  <c r="H79" i="46"/>
  <c r="H111" i="46"/>
  <c r="H8" i="46"/>
  <c r="H16" i="46"/>
  <c r="H24" i="46"/>
  <c r="H32" i="46"/>
  <c r="H40" i="46"/>
  <c r="H48" i="46"/>
  <c r="H56" i="46"/>
  <c r="H64" i="46"/>
  <c r="H72" i="46"/>
  <c r="H80" i="46"/>
  <c r="H88" i="46"/>
  <c r="H96" i="46"/>
  <c r="H104" i="46"/>
  <c r="H112" i="46"/>
  <c r="H120" i="46"/>
  <c r="H128" i="46"/>
  <c r="H17" i="46"/>
  <c r="H25" i="46"/>
  <c r="H33" i="46"/>
  <c r="H41" i="46"/>
  <c r="H49" i="46"/>
  <c r="H57" i="46"/>
  <c r="H65" i="46"/>
  <c r="H73" i="46"/>
  <c r="H89" i="46"/>
  <c r="H97" i="46"/>
  <c r="H113" i="46"/>
  <c r="H121" i="46"/>
  <c r="H42" i="46"/>
  <c r="H66" i="46"/>
  <c r="H82" i="46"/>
  <c r="H98" i="46"/>
  <c r="H122" i="46"/>
  <c r="H130" i="46"/>
  <c r="H95" i="46"/>
  <c r="H127" i="46"/>
  <c r="H9" i="46"/>
  <c r="H81" i="46"/>
  <c r="H105" i="46"/>
  <c r="H129" i="46"/>
  <c r="H58" i="46"/>
  <c r="H90" i="46"/>
  <c r="H114" i="46"/>
  <c r="H87" i="46"/>
  <c r="H10" i="46"/>
  <c r="H18" i="46"/>
  <c r="H26" i="46"/>
  <c r="H34" i="46"/>
  <c r="H50" i="46"/>
  <c r="H74" i="46"/>
  <c r="H106" i="46"/>
  <c r="H126" i="46"/>
  <c r="H119" i="46"/>
  <c r="H11" i="46"/>
  <c r="H19" i="46"/>
  <c r="H27" i="46"/>
  <c r="H35" i="46"/>
  <c r="H43" i="46"/>
  <c r="H51" i="46"/>
  <c r="H59" i="46"/>
  <c r="H67" i="46"/>
  <c r="H75" i="46"/>
  <c r="H83" i="46"/>
  <c r="H91" i="46"/>
  <c r="H99" i="46"/>
  <c r="H107" i="46"/>
  <c r="H115" i="46"/>
  <c r="H123" i="46"/>
  <c r="H21" i="46"/>
  <c r="H29" i="46"/>
  <c r="H45" i="46"/>
  <c r="H61" i="46"/>
  <c r="H77" i="46"/>
  <c r="H93" i="46"/>
  <c r="H109" i="46"/>
  <c r="H125" i="46"/>
  <c r="H62" i="46"/>
  <c r="H86" i="46"/>
  <c r="H110" i="46"/>
  <c r="H12" i="46"/>
  <c r="H20" i="46"/>
  <c r="H28" i="46"/>
  <c r="H36" i="46"/>
  <c r="H44" i="46"/>
  <c r="H52" i="46"/>
  <c r="H60" i="46"/>
  <c r="H68" i="46"/>
  <c r="H76" i="46"/>
  <c r="H84" i="46"/>
  <c r="H92" i="46"/>
  <c r="H100" i="46"/>
  <c r="H108" i="46"/>
  <c r="H116" i="46"/>
  <c r="H124" i="46"/>
  <c r="H13" i="46"/>
  <c r="H37" i="46"/>
  <c r="H53" i="46"/>
  <c r="H69" i="46"/>
  <c r="H85" i="46"/>
  <c r="H101" i="46"/>
  <c r="H117" i="46"/>
  <c r="H54" i="46"/>
  <c r="H78" i="46"/>
  <c r="H102" i="46"/>
  <c r="H103" i="46"/>
  <c r="H5" i="46"/>
  <c r="F6" i="46"/>
  <c r="G11" i="46"/>
  <c r="F14" i="46"/>
  <c r="G19" i="46"/>
  <c r="F22" i="46"/>
  <c r="G27" i="46"/>
  <c r="F30" i="46"/>
  <c r="G35" i="46"/>
  <c r="F38" i="46"/>
  <c r="G43" i="46"/>
  <c r="F46" i="46"/>
  <c r="G51" i="46"/>
  <c r="F54" i="46"/>
  <c r="G59" i="46"/>
  <c r="F62" i="46"/>
  <c r="G67" i="46"/>
  <c r="F70" i="46"/>
  <c r="G75" i="46"/>
  <c r="F78" i="46"/>
  <c r="G83" i="46"/>
  <c r="F86" i="46"/>
  <c r="G91" i="46"/>
  <c r="F94" i="46"/>
  <c r="G99" i="46"/>
  <c r="F102" i="46"/>
  <c r="G107" i="46"/>
  <c r="F110" i="46"/>
  <c r="G115" i="46"/>
  <c r="F118" i="46"/>
  <c r="G123" i="46"/>
  <c r="F126" i="46"/>
  <c r="F73" i="46"/>
  <c r="F81" i="46"/>
  <c r="F89" i="46"/>
  <c r="G102" i="46"/>
  <c r="G126" i="46"/>
  <c r="G6" i="46"/>
  <c r="F9" i="46"/>
  <c r="G14" i="46"/>
  <c r="F17" i="46"/>
  <c r="G22" i="46"/>
  <c r="F25" i="46"/>
  <c r="G30" i="46"/>
  <c r="F33" i="46"/>
  <c r="G38" i="46"/>
  <c r="F41" i="46"/>
  <c r="G46" i="46"/>
  <c r="F49" i="46"/>
  <c r="G54" i="46"/>
  <c r="F57" i="46"/>
  <c r="G62" i="46"/>
  <c r="F65" i="46"/>
  <c r="G70" i="46"/>
  <c r="G78" i="46"/>
  <c r="F97" i="46"/>
  <c r="F113" i="46"/>
  <c r="G9" i="46"/>
  <c r="F12" i="46"/>
  <c r="G17" i="46"/>
  <c r="F20" i="46"/>
  <c r="G25" i="46"/>
  <c r="F28" i="46"/>
  <c r="G33" i="46"/>
  <c r="F36" i="46"/>
  <c r="G41" i="46"/>
  <c r="F44" i="46"/>
  <c r="G49" i="46"/>
  <c r="F52" i="46"/>
  <c r="G57" i="46"/>
  <c r="F60" i="46"/>
  <c r="G65" i="46"/>
  <c r="F68" i="46"/>
  <c r="G73" i="46"/>
  <c r="F76" i="46"/>
  <c r="G81" i="46"/>
  <c r="F84" i="46"/>
  <c r="G89" i="46"/>
  <c r="F92" i="46"/>
  <c r="G97" i="46"/>
  <c r="F100" i="46"/>
  <c r="G105" i="46"/>
  <c r="F108" i="46"/>
  <c r="G113" i="46"/>
  <c r="F116" i="46"/>
  <c r="G121" i="46"/>
  <c r="F124" i="46"/>
  <c r="G129" i="46"/>
  <c r="G76" i="46"/>
  <c r="G84" i="46"/>
  <c r="F95" i="46"/>
  <c r="G100" i="46"/>
  <c r="F111" i="46"/>
  <c r="G116" i="46"/>
  <c r="F127" i="46"/>
  <c r="F85" i="46"/>
  <c r="F101" i="46"/>
  <c r="G114" i="46"/>
  <c r="F125" i="46"/>
  <c r="G112" i="46"/>
  <c r="G128" i="46"/>
  <c r="G110" i="46"/>
  <c r="F129" i="46"/>
  <c r="F7" i="46"/>
  <c r="G12" i="46"/>
  <c r="F15" i="46"/>
  <c r="G20" i="46"/>
  <c r="F23" i="46"/>
  <c r="G28" i="46"/>
  <c r="F31" i="46"/>
  <c r="G36" i="46"/>
  <c r="F39" i="46"/>
  <c r="G44" i="46"/>
  <c r="F47" i="46"/>
  <c r="G52" i="46"/>
  <c r="F55" i="46"/>
  <c r="G60" i="46"/>
  <c r="F63" i="46"/>
  <c r="G68" i="46"/>
  <c r="F71" i="46"/>
  <c r="F79" i="46"/>
  <c r="F87" i="46"/>
  <c r="G92" i="46"/>
  <c r="F103" i="46"/>
  <c r="G108" i="46"/>
  <c r="F119" i="46"/>
  <c r="G124" i="46"/>
  <c r="F77" i="46"/>
  <c r="F93" i="46"/>
  <c r="G130" i="46"/>
  <c r="G104" i="46"/>
  <c r="G94" i="46"/>
  <c r="G7" i="46"/>
  <c r="F10" i="46"/>
  <c r="G15" i="46"/>
  <c r="F18" i="46"/>
  <c r="G23" i="46"/>
  <c r="F26" i="46"/>
  <c r="G31" i="46"/>
  <c r="F34" i="46"/>
  <c r="G39" i="46"/>
  <c r="F42" i="46"/>
  <c r="G47" i="46"/>
  <c r="F50" i="46"/>
  <c r="G55" i="46"/>
  <c r="F58" i="46"/>
  <c r="G63" i="46"/>
  <c r="F66" i="46"/>
  <c r="G71" i="46"/>
  <c r="F74" i="46"/>
  <c r="G79" i="46"/>
  <c r="F82" i="46"/>
  <c r="G87" i="46"/>
  <c r="F90" i="46"/>
  <c r="G95" i="46"/>
  <c r="F98" i="46"/>
  <c r="G103" i="46"/>
  <c r="F106" i="46"/>
  <c r="G111" i="46"/>
  <c r="F114" i="46"/>
  <c r="G119" i="46"/>
  <c r="F122" i="46"/>
  <c r="G127" i="46"/>
  <c r="F130" i="46"/>
  <c r="G10" i="46"/>
  <c r="G34" i="46"/>
  <c r="F45" i="46"/>
  <c r="G50" i="46"/>
  <c r="F53" i="46"/>
  <c r="G58" i="46"/>
  <c r="G66" i="46"/>
  <c r="G74" i="46"/>
  <c r="G82" i="46"/>
  <c r="G90" i="46"/>
  <c r="G106" i="46"/>
  <c r="F117" i="46"/>
  <c r="G96" i="46"/>
  <c r="F123" i="46"/>
  <c r="F105" i="46"/>
  <c r="F121" i="46"/>
  <c r="F13" i="46"/>
  <c r="G18" i="46"/>
  <c r="F21" i="46"/>
  <c r="G26" i="46"/>
  <c r="F29" i="46"/>
  <c r="F37" i="46"/>
  <c r="G42" i="46"/>
  <c r="F61" i="46"/>
  <c r="F69" i="46"/>
  <c r="G98" i="46"/>
  <c r="F109" i="46"/>
  <c r="G122" i="46"/>
  <c r="F115" i="46"/>
  <c r="G118" i="46"/>
  <c r="F8" i="46"/>
  <c r="G13" i="46"/>
  <c r="F16" i="46"/>
  <c r="G21" i="46"/>
  <c r="F24" i="46"/>
  <c r="G29" i="46"/>
  <c r="F32" i="46"/>
  <c r="G37" i="46"/>
  <c r="F40" i="46"/>
  <c r="G45" i="46"/>
  <c r="F48" i="46"/>
  <c r="G53" i="46"/>
  <c r="F56" i="46"/>
  <c r="G61" i="46"/>
  <c r="F64" i="46"/>
  <c r="G69" i="46"/>
  <c r="F72" i="46"/>
  <c r="G77" i="46"/>
  <c r="F80" i="46"/>
  <c r="G85" i="46"/>
  <c r="F88" i="46"/>
  <c r="G93" i="46"/>
  <c r="F96" i="46"/>
  <c r="G101" i="46"/>
  <c r="F104" i="46"/>
  <c r="G109" i="46"/>
  <c r="F112" i="46"/>
  <c r="G117" i="46"/>
  <c r="F120" i="46"/>
  <c r="G125" i="46"/>
  <c r="F128" i="46"/>
  <c r="G8" i="46"/>
  <c r="F11" i="46"/>
  <c r="G16" i="46"/>
  <c r="F19" i="46"/>
  <c r="G24" i="46"/>
  <c r="F27" i="46"/>
  <c r="G32" i="46"/>
  <c r="F35" i="46"/>
  <c r="G40" i="46"/>
  <c r="F43" i="46"/>
  <c r="G48" i="46"/>
  <c r="F51" i="46"/>
  <c r="G56" i="46"/>
  <c r="F59" i="46"/>
  <c r="G64" i="46"/>
  <c r="F67" i="46"/>
  <c r="G72" i="46"/>
  <c r="F75" i="46"/>
  <c r="G80" i="46"/>
  <c r="F83" i="46"/>
  <c r="G88" i="46"/>
  <c r="F91" i="46"/>
  <c r="F99" i="46"/>
  <c r="F107" i="46"/>
  <c r="G120" i="46"/>
  <c r="G86" i="46"/>
  <c r="K6" i="46"/>
  <c r="K10" i="46"/>
  <c r="K14" i="46"/>
  <c r="K18" i="46"/>
  <c r="K22" i="46"/>
  <c r="K26" i="46"/>
  <c r="K30" i="46"/>
  <c r="K34" i="46"/>
  <c r="K38" i="46"/>
  <c r="K42" i="46"/>
  <c r="K46" i="46"/>
  <c r="K50" i="46"/>
  <c r="K58" i="46"/>
  <c r="K70" i="46"/>
  <c r="K78" i="46"/>
  <c r="K90" i="46"/>
  <c r="K106" i="46"/>
  <c r="K126" i="46"/>
  <c r="L42" i="46"/>
  <c r="L78" i="46"/>
  <c r="L106" i="46"/>
  <c r="L6" i="46"/>
  <c r="L10" i="46"/>
  <c r="L14" i="46"/>
  <c r="L26" i="46"/>
  <c r="L46" i="46"/>
  <c r="L66" i="46"/>
  <c r="L102" i="46"/>
  <c r="L130" i="46"/>
  <c r="K7" i="46"/>
  <c r="K11" i="46"/>
  <c r="K15" i="46"/>
  <c r="K19" i="46"/>
  <c r="K23" i="46"/>
  <c r="K27" i="46"/>
  <c r="K31" i="46"/>
  <c r="K35" i="46"/>
  <c r="K39" i="46"/>
  <c r="K43" i="46"/>
  <c r="K47" i="46"/>
  <c r="K51" i="46"/>
  <c r="K55" i="46"/>
  <c r="K59" i="46"/>
  <c r="K63" i="46"/>
  <c r="K67" i="46"/>
  <c r="K71" i="46"/>
  <c r="K75" i="46"/>
  <c r="K79" i="46"/>
  <c r="K83" i="46"/>
  <c r="K87" i="46"/>
  <c r="K91" i="46"/>
  <c r="K95" i="46"/>
  <c r="K99" i="46"/>
  <c r="K103" i="46"/>
  <c r="K107" i="46"/>
  <c r="K111" i="46"/>
  <c r="K115" i="46"/>
  <c r="K119" i="46"/>
  <c r="K123" i="46"/>
  <c r="K127" i="46"/>
  <c r="K48" i="46"/>
  <c r="K64" i="46"/>
  <c r="K72" i="46"/>
  <c r="K84" i="46"/>
  <c r="K92" i="46"/>
  <c r="K104" i="46"/>
  <c r="K116" i="46"/>
  <c r="K128" i="46"/>
  <c r="L12" i="46"/>
  <c r="L32" i="46"/>
  <c r="L44" i="46"/>
  <c r="L60" i="46"/>
  <c r="L76" i="46"/>
  <c r="L88" i="46"/>
  <c r="L100" i="46"/>
  <c r="L116" i="46"/>
  <c r="L128" i="46"/>
  <c r="K122" i="46"/>
  <c r="L30" i="46"/>
  <c r="L62" i="46"/>
  <c r="L98" i="46"/>
  <c r="L122" i="46"/>
  <c r="L7" i="46"/>
  <c r="L11" i="46"/>
  <c r="L15" i="46"/>
  <c r="L19" i="46"/>
  <c r="L23" i="46"/>
  <c r="L27" i="46"/>
  <c r="L31" i="46"/>
  <c r="L35" i="46"/>
  <c r="L39" i="46"/>
  <c r="L43" i="46"/>
  <c r="L47" i="46"/>
  <c r="L51" i="46"/>
  <c r="L55" i="46"/>
  <c r="L59" i="46"/>
  <c r="L63" i="46"/>
  <c r="L67" i="46"/>
  <c r="L71" i="46"/>
  <c r="L75" i="46"/>
  <c r="L79" i="46"/>
  <c r="L83" i="46"/>
  <c r="L87" i="46"/>
  <c r="L91" i="46"/>
  <c r="L95" i="46"/>
  <c r="L99" i="46"/>
  <c r="L103" i="46"/>
  <c r="L107" i="46"/>
  <c r="L111" i="46"/>
  <c r="L115" i="46"/>
  <c r="L119" i="46"/>
  <c r="L123" i="46"/>
  <c r="L127" i="46"/>
  <c r="K8" i="46"/>
  <c r="K12" i="46"/>
  <c r="K20" i="46"/>
  <c r="K24" i="46"/>
  <c r="K28" i="46"/>
  <c r="K32" i="46"/>
  <c r="K36" i="46"/>
  <c r="K40" i="46"/>
  <c r="K44" i="46"/>
  <c r="K52" i="46"/>
  <c r="K56" i="46"/>
  <c r="K60" i="46"/>
  <c r="K68" i="46"/>
  <c r="K76" i="46"/>
  <c r="K80" i="46"/>
  <c r="K88" i="46"/>
  <c r="K96" i="46"/>
  <c r="K108" i="46"/>
  <c r="K112" i="46"/>
  <c r="K120" i="46"/>
  <c r="L8" i="46"/>
  <c r="L24" i="46"/>
  <c r="L28" i="46"/>
  <c r="L40" i="46"/>
  <c r="L48" i="46"/>
  <c r="L56" i="46"/>
  <c r="L68" i="46"/>
  <c r="L72" i="46"/>
  <c r="L84" i="46"/>
  <c r="L96" i="46"/>
  <c r="L104" i="46"/>
  <c r="L112" i="46"/>
  <c r="L124" i="46"/>
  <c r="K102" i="46"/>
  <c r="K118" i="46"/>
  <c r="L18" i="46"/>
  <c r="L54" i="46"/>
  <c r="L70" i="46"/>
  <c r="L86" i="46"/>
  <c r="L118" i="46"/>
  <c r="K16" i="46"/>
  <c r="K100" i="46"/>
  <c r="K124" i="46"/>
  <c r="L16" i="46"/>
  <c r="L36" i="46"/>
  <c r="L52" i="46"/>
  <c r="L64" i="46"/>
  <c r="L80" i="46"/>
  <c r="L92" i="46"/>
  <c r="L108" i="46"/>
  <c r="L120" i="46"/>
  <c r="K110" i="46"/>
  <c r="K130" i="46"/>
  <c r="L38" i="46"/>
  <c r="L82" i="46"/>
  <c r="L110" i="46"/>
  <c r="L20" i="46"/>
  <c r="L34" i="46"/>
  <c r="L58" i="46"/>
  <c r="L94" i="46"/>
  <c r="L126" i="46"/>
  <c r="K9" i="46"/>
  <c r="K13" i="46"/>
  <c r="K17" i="46"/>
  <c r="K21" i="46"/>
  <c r="K25" i="46"/>
  <c r="K29" i="46"/>
  <c r="K33" i="46"/>
  <c r="K37" i="46"/>
  <c r="K41" i="46"/>
  <c r="K45" i="46"/>
  <c r="K49" i="46"/>
  <c r="K53" i="46"/>
  <c r="K57" i="46"/>
  <c r="K61" i="46"/>
  <c r="K65" i="46"/>
  <c r="K69" i="46"/>
  <c r="K73" i="46"/>
  <c r="K77" i="46"/>
  <c r="K81" i="46"/>
  <c r="K85" i="46"/>
  <c r="K89" i="46"/>
  <c r="K93" i="46"/>
  <c r="K97" i="46"/>
  <c r="K101" i="46"/>
  <c r="K105" i="46"/>
  <c r="K109" i="46"/>
  <c r="K113" i="46"/>
  <c r="K117" i="46"/>
  <c r="K121" i="46"/>
  <c r="K125" i="46"/>
  <c r="K129" i="46"/>
  <c r="L9" i="46"/>
  <c r="L13" i="46"/>
  <c r="L17" i="46"/>
  <c r="L21" i="46"/>
  <c r="L25" i="46"/>
  <c r="L29" i="46"/>
  <c r="L33" i="46"/>
  <c r="L37" i="46"/>
  <c r="L41" i="46"/>
  <c r="L45" i="46"/>
  <c r="L49" i="46"/>
  <c r="L53" i="46"/>
  <c r="L57" i="46"/>
  <c r="L61" i="46"/>
  <c r="L65" i="46"/>
  <c r="L69" i="46"/>
  <c r="L73" i="46"/>
  <c r="L77" i="46"/>
  <c r="L81" i="46"/>
  <c r="L85" i="46"/>
  <c r="L89" i="46"/>
  <c r="L93" i="46"/>
  <c r="L97" i="46"/>
  <c r="L101" i="46"/>
  <c r="L105" i="46"/>
  <c r="L109" i="46"/>
  <c r="L113" i="46"/>
  <c r="L117" i="46"/>
  <c r="L121" i="46"/>
  <c r="L125" i="46"/>
  <c r="L129" i="46"/>
  <c r="K54" i="46"/>
  <c r="K62" i="46"/>
  <c r="K66" i="46"/>
  <c r="K74" i="46"/>
  <c r="K82" i="46"/>
  <c r="K86" i="46"/>
  <c r="K94" i="46"/>
  <c r="K98" i="46"/>
  <c r="K114" i="46"/>
  <c r="L22" i="46"/>
  <c r="L50" i="46"/>
  <c r="L74" i="46"/>
  <c r="L90" i="46"/>
  <c r="L114" i="46"/>
  <c r="L5" i="46"/>
  <c r="K5" i="46"/>
  <c r="J6" i="46"/>
  <c r="J14" i="46"/>
  <c r="J22" i="46"/>
  <c r="J30" i="46"/>
  <c r="J38" i="46"/>
  <c r="J46" i="46"/>
  <c r="J54" i="46"/>
  <c r="J62" i="46"/>
  <c r="J70" i="46"/>
  <c r="J78" i="46"/>
  <c r="J86" i="46"/>
  <c r="J94" i="46"/>
  <c r="J102" i="46"/>
  <c r="J110" i="46"/>
  <c r="J126" i="46"/>
  <c r="J23" i="46"/>
  <c r="J55" i="46"/>
  <c r="J87" i="46"/>
  <c r="J111" i="46"/>
  <c r="J8" i="46"/>
  <c r="J16" i="46"/>
  <c r="J24" i="46"/>
  <c r="J32" i="46"/>
  <c r="J40" i="46"/>
  <c r="J48" i="46"/>
  <c r="J56" i="46"/>
  <c r="J64" i="46"/>
  <c r="J72" i="46"/>
  <c r="J80" i="46"/>
  <c r="J88" i="46"/>
  <c r="J96" i="46"/>
  <c r="J104" i="46"/>
  <c r="J112" i="46"/>
  <c r="J120" i="46"/>
  <c r="J128" i="46"/>
  <c r="J17" i="46"/>
  <c r="J25" i="46"/>
  <c r="J33" i="46"/>
  <c r="J41" i="46"/>
  <c r="J49" i="46"/>
  <c r="J57" i="46"/>
  <c r="J65" i="46"/>
  <c r="J73" i="46"/>
  <c r="J81" i="46"/>
  <c r="J89" i="46"/>
  <c r="J97" i="46"/>
  <c r="J105" i="46"/>
  <c r="J121" i="46"/>
  <c r="J129" i="46"/>
  <c r="J122" i="46"/>
  <c r="J11" i="46"/>
  <c r="J35" i="46"/>
  <c r="J51" i="46"/>
  <c r="J67" i="46"/>
  <c r="J91" i="46"/>
  <c r="J115" i="46"/>
  <c r="J52" i="46"/>
  <c r="J76" i="46"/>
  <c r="J100" i="46"/>
  <c r="J124" i="46"/>
  <c r="J21" i="46"/>
  <c r="J53" i="46"/>
  <c r="J69" i="46"/>
  <c r="J85" i="46"/>
  <c r="J101" i="46"/>
  <c r="J109" i="46"/>
  <c r="J117" i="46"/>
  <c r="J125" i="46"/>
  <c r="J118" i="46"/>
  <c r="J7" i="46"/>
  <c r="J39" i="46"/>
  <c r="J79" i="46"/>
  <c r="J103" i="46"/>
  <c r="J127" i="46"/>
  <c r="J9" i="46"/>
  <c r="J113" i="46"/>
  <c r="J27" i="46"/>
  <c r="J99" i="46"/>
  <c r="J92" i="46"/>
  <c r="J29" i="46"/>
  <c r="J63" i="46"/>
  <c r="J10" i="46"/>
  <c r="J18" i="46"/>
  <c r="J26" i="46"/>
  <c r="J34" i="46"/>
  <c r="J42" i="46"/>
  <c r="J50" i="46"/>
  <c r="J58" i="46"/>
  <c r="J66" i="46"/>
  <c r="J74" i="46"/>
  <c r="J82" i="46"/>
  <c r="J90" i="46"/>
  <c r="J98" i="46"/>
  <c r="J106" i="46"/>
  <c r="J114" i="46"/>
  <c r="J130" i="46"/>
  <c r="J19" i="46"/>
  <c r="J43" i="46"/>
  <c r="J59" i="46"/>
  <c r="J75" i="46"/>
  <c r="J83" i="46"/>
  <c r="J107" i="46"/>
  <c r="J123" i="46"/>
  <c r="J68" i="46"/>
  <c r="J84" i="46"/>
  <c r="J116" i="46"/>
  <c r="J13" i="46"/>
  <c r="J45" i="46"/>
  <c r="J61" i="46"/>
  <c r="J77" i="46"/>
  <c r="J15" i="46"/>
  <c r="J31" i="46"/>
  <c r="J71" i="46"/>
  <c r="J95" i="46"/>
  <c r="J119" i="46"/>
  <c r="J12" i="46"/>
  <c r="J20" i="46"/>
  <c r="J28" i="46"/>
  <c r="J36" i="46"/>
  <c r="J44" i="46"/>
  <c r="J60" i="46"/>
  <c r="J108" i="46"/>
  <c r="J37" i="46"/>
  <c r="J93" i="46"/>
  <c r="J47" i="46"/>
  <c r="F26" i="43"/>
  <c r="D26" i="43"/>
  <c r="F25" i="43"/>
  <c r="D25" i="43"/>
  <c r="F24" i="43"/>
  <c r="D24" i="43"/>
  <c r="F23" i="43"/>
  <c r="D23" i="43"/>
  <c r="D22" i="43" s="1"/>
  <c r="D21" i="43" s="1"/>
  <c r="D20" i="43" s="1"/>
  <c r="D19" i="43" s="1"/>
  <c r="D18" i="43" s="1"/>
  <c r="D17" i="43" s="1"/>
  <c r="D16" i="43" s="1"/>
  <c r="D15" i="43" s="1"/>
  <c r="D14" i="43" s="1"/>
  <c r="D13" i="43" s="1"/>
  <c r="D12" i="43" s="1"/>
  <c r="D11" i="43" s="1"/>
  <c r="D10" i="43" s="1"/>
  <c r="D9" i="43" s="1"/>
  <c r="D8" i="43" s="1"/>
  <c r="D7" i="43" s="1"/>
  <c r="D6" i="43" s="1"/>
  <c r="D5" i="43" s="1"/>
  <c r="F22" i="43"/>
  <c r="F21" i="43"/>
  <c r="F20" i="43"/>
  <c r="F19" i="43"/>
  <c r="F18" i="43"/>
  <c r="F17" i="43"/>
  <c r="F16" i="43"/>
  <c r="F15" i="43"/>
  <c r="F14" i="43"/>
  <c r="F13" i="43"/>
  <c r="F12" i="43"/>
  <c r="F11" i="43"/>
  <c r="F10" i="43"/>
  <c r="F9" i="43"/>
  <c r="F8" i="43"/>
  <c r="F7" i="43"/>
  <c r="F6" i="43"/>
  <c r="F5" i="43"/>
  <c r="F64" i="42"/>
  <c r="D64" i="42"/>
  <c r="F63" i="42"/>
  <c r="D63" i="42"/>
  <c r="D62" i="42" s="1"/>
  <c r="D61" i="42" s="1"/>
  <c r="D60" i="42" s="1"/>
  <c r="D59" i="42" s="1"/>
  <c r="D58" i="42" s="1"/>
  <c r="D57" i="42" s="1"/>
  <c r="D56" i="42" s="1"/>
  <c r="D55" i="42" s="1"/>
  <c r="D54" i="42" s="1"/>
  <c r="D53" i="42" s="1"/>
  <c r="D52" i="42" s="1"/>
  <c r="D51" i="42" s="1"/>
  <c r="D50" i="42" s="1"/>
  <c r="D49" i="42" s="1"/>
  <c r="D48" i="42" s="1"/>
  <c r="D47" i="42" s="1"/>
  <c r="D46" i="42" s="1"/>
  <c r="D45" i="42" s="1"/>
  <c r="D44" i="42" s="1"/>
  <c r="D43" i="42" s="1"/>
  <c r="D42" i="42" s="1"/>
  <c r="D41" i="42" s="1"/>
  <c r="D40" i="42" s="1"/>
  <c r="D39" i="42" s="1"/>
  <c r="D38" i="42" s="1"/>
  <c r="D37" i="42" s="1"/>
  <c r="D36" i="42" s="1"/>
  <c r="D35" i="42" s="1"/>
  <c r="D34" i="42" s="1"/>
  <c r="D33" i="42" s="1"/>
  <c r="D32" i="42" s="1"/>
  <c r="D31" i="42" s="1"/>
  <c r="D30" i="42" s="1"/>
  <c r="D29" i="42" s="1"/>
  <c r="D28" i="42" s="1"/>
  <c r="D27" i="42" s="1"/>
  <c r="D26" i="42" s="1"/>
  <c r="D25" i="42" s="1"/>
  <c r="D24" i="42" s="1"/>
  <c r="D23" i="42" s="1"/>
  <c r="D22" i="42" s="1"/>
  <c r="D21" i="42" s="1"/>
  <c r="D20" i="42" s="1"/>
  <c r="D19" i="42" s="1"/>
  <c r="D18" i="42" s="1"/>
  <c r="D17" i="42" s="1"/>
  <c r="D16" i="42" s="1"/>
  <c r="D15" i="42" s="1"/>
  <c r="D14" i="42" s="1"/>
  <c r="D13" i="42" s="1"/>
  <c r="D12" i="42" s="1"/>
  <c r="D11" i="42" s="1"/>
  <c r="D10" i="42" s="1"/>
  <c r="D9" i="42" s="1"/>
  <c r="D8" i="42" s="1"/>
  <c r="D7" i="42" s="1"/>
  <c r="D6" i="42" s="1"/>
  <c r="D5" i="42" s="1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F13" i="42"/>
  <c r="F12" i="42"/>
  <c r="F11" i="42"/>
  <c r="F10" i="42"/>
  <c r="F9" i="42"/>
  <c r="F8" i="42"/>
  <c r="F7" i="42"/>
  <c r="F6" i="42"/>
  <c r="F5" i="42"/>
  <c r="G5" i="46"/>
  <c r="F5" i="46"/>
</calcChain>
</file>

<file path=xl/sharedStrings.xml><?xml version="1.0" encoding="utf-8"?>
<sst xmlns="http://schemas.openxmlformats.org/spreadsheetml/2006/main" count="356" uniqueCount="156">
  <si>
    <t>ALIGNMENT NAME :</t>
  </si>
  <si>
    <t>HOR-SO-NB_A02</t>
  </si>
  <si>
    <t>HORIZONTAL ALIGNMENT DATA</t>
  </si>
  <si>
    <t>HIP NO.</t>
  </si>
  <si>
    <t>MAIN POINT</t>
  </si>
  <si>
    <t>LOOP NO.</t>
  </si>
  <si>
    <t>CH.START (M.)</t>
  </si>
  <si>
    <t>CH.END (M.)</t>
  </si>
  <si>
    <t>E.START (M.)</t>
  </si>
  <si>
    <t>N.START (M.)</t>
  </si>
  <si>
    <t>AZIMUTH (DEG.)</t>
  </si>
  <si>
    <t>RADIUS (M.)</t>
  </si>
  <si>
    <t>CURVE TYPE</t>
  </si>
  <si>
    <t>REMARK</t>
  </si>
  <si>
    <t>i=0,k=0</t>
  </si>
  <si>
    <t>NORTH BOUND</t>
  </si>
  <si>
    <t>BOP</t>
  </si>
  <si>
    <t>T</t>
  </si>
  <si>
    <t>T = Straight Line</t>
  </si>
  <si>
    <t>1,1</t>
  </si>
  <si>
    <t>PI-1</t>
  </si>
  <si>
    <t>TS</t>
  </si>
  <si>
    <t>SPIN</t>
  </si>
  <si>
    <t>SPIN = Spiral Curve In</t>
  </si>
  <si>
    <t>1,2</t>
  </si>
  <si>
    <t>SC</t>
  </si>
  <si>
    <t>C</t>
  </si>
  <si>
    <t>C = Circular Curve</t>
  </si>
  <si>
    <t>1,3</t>
  </si>
  <si>
    <t>CS</t>
  </si>
  <si>
    <t>SPOT</t>
  </si>
  <si>
    <t>SPOT = Spiral Curve Out</t>
  </si>
  <si>
    <t>1,4</t>
  </si>
  <si>
    <t>ST</t>
  </si>
  <si>
    <t>2,5</t>
  </si>
  <si>
    <t>PI-2</t>
  </si>
  <si>
    <t>2,6</t>
  </si>
  <si>
    <t>2,7</t>
  </si>
  <si>
    <t>2,8</t>
  </si>
  <si>
    <t>3,9</t>
  </si>
  <si>
    <t>PI-3</t>
  </si>
  <si>
    <t>3,10</t>
  </si>
  <si>
    <t>3,11</t>
  </si>
  <si>
    <t>3,12</t>
  </si>
  <si>
    <t>4,13</t>
  </si>
  <si>
    <t>PI-4</t>
  </si>
  <si>
    <t>4,14</t>
  </si>
  <si>
    <t>4,15</t>
  </si>
  <si>
    <t>4,16</t>
  </si>
  <si>
    <t>5,17</t>
  </si>
  <si>
    <t>PI-5</t>
  </si>
  <si>
    <t>5,18</t>
  </si>
  <si>
    <t>5,19</t>
  </si>
  <si>
    <t>5,20</t>
  </si>
  <si>
    <t>6,21</t>
  </si>
  <si>
    <t>PI-6</t>
  </si>
  <si>
    <t>6,22</t>
  </si>
  <si>
    <t>6,23</t>
  </si>
  <si>
    <t>6,24</t>
  </si>
  <si>
    <t>7,25</t>
  </si>
  <si>
    <t>PI-7</t>
  </si>
  <si>
    <t>PC</t>
  </si>
  <si>
    <t>7,26</t>
  </si>
  <si>
    <t>PT</t>
  </si>
  <si>
    <t>8,27</t>
  </si>
  <si>
    <t>PI-8</t>
  </si>
  <si>
    <t>8,28</t>
  </si>
  <si>
    <t>8,29</t>
  </si>
  <si>
    <t>8,30</t>
  </si>
  <si>
    <t>9,31</t>
  </si>
  <si>
    <t>PI-9</t>
  </si>
  <si>
    <t>9,32</t>
  </si>
  <si>
    <t>9,33</t>
  </si>
  <si>
    <t>9,34</t>
  </si>
  <si>
    <t>10,35</t>
  </si>
  <si>
    <t>PI-10</t>
  </si>
  <si>
    <t>10,36</t>
  </si>
  <si>
    <t>10,37</t>
  </si>
  <si>
    <t>10,38</t>
  </si>
  <si>
    <t>11,39</t>
  </si>
  <si>
    <t>PI-11</t>
  </si>
  <si>
    <t>11,40</t>
  </si>
  <si>
    <t>11,41</t>
  </si>
  <si>
    <t>11,42</t>
  </si>
  <si>
    <t>12,43</t>
  </si>
  <si>
    <t>PI-12</t>
  </si>
  <si>
    <t>12,44</t>
  </si>
  <si>
    <t>12,45</t>
  </si>
  <si>
    <t>12,46</t>
  </si>
  <si>
    <t>13,47</t>
  </si>
  <si>
    <t>PI-13</t>
  </si>
  <si>
    <t>13,48</t>
  </si>
  <si>
    <t>13,49</t>
  </si>
  <si>
    <t>13,50</t>
  </si>
  <si>
    <t>14,51</t>
  </si>
  <si>
    <t>PI-14</t>
  </si>
  <si>
    <t>14,52</t>
  </si>
  <si>
    <t>14,53</t>
  </si>
  <si>
    <t>14,54</t>
  </si>
  <si>
    <t>15,55</t>
  </si>
  <si>
    <t>PI-15</t>
  </si>
  <si>
    <t>15,56</t>
  </si>
  <si>
    <t>15,57</t>
  </si>
  <si>
    <t>15,58</t>
  </si>
  <si>
    <t>16,59</t>
  </si>
  <si>
    <t>EOP</t>
  </si>
  <si>
    <t>VER-SO-NB_A02</t>
  </si>
  <si>
    <t>VERTICAL ALIGNMENT DATA</t>
  </si>
  <si>
    <t>VIP NO.</t>
  </si>
  <si>
    <t>ELEVATION (M.)</t>
  </si>
  <si>
    <t>GRADIENT 1 (%)</t>
  </si>
  <si>
    <t>GRADIENT 2 (%)</t>
  </si>
  <si>
    <t>LVC (M.)</t>
  </si>
  <si>
    <t>LVC 1 (M.)</t>
  </si>
  <si>
    <t>LVC 2 (M.)</t>
  </si>
  <si>
    <t>T = Tangent</t>
  </si>
  <si>
    <t>PVC</t>
  </si>
  <si>
    <t>S</t>
  </si>
  <si>
    <t>S = Symmetric Curve</t>
  </si>
  <si>
    <t>PVT</t>
  </si>
  <si>
    <t>U = Unsymmetric Curve</t>
  </si>
  <si>
    <t>2,3</t>
  </si>
  <si>
    <t>2,4</t>
  </si>
  <si>
    <t>3,5</t>
  </si>
  <si>
    <t>3,6</t>
  </si>
  <si>
    <t>4,7</t>
  </si>
  <si>
    <t>4,8</t>
  </si>
  <si>
    <t>5,9</t>
  </si>
  <si>
    <t>5,10</t>
  </si>
  <si>
    <t>6,11</t>
  </si>
  <si>
    <t>6,12</t>
  </si>
  <si>
    <t>7,13</t>
  </si>
  <si>
    <t>7,14</t>
  </si>
  <si>
    <t>8,15</t>
  </si>
  <si>
    <t>8,16</t>
  </si>
  <si>
    <t>9,17</t>
  </si>
  <si>
    <t>9,18</t>
  </si>
  <si>
    <t>10,19</t>
  </si>
  <si>
    <t>10,20</t>
  </si>
  <si>
    <t>11,21</t>
  </si>
  <si>
    <t>No.</t>
  </si>
  <si>
    <t>Chainage</t>
  </si>
  <si>
    <t>Track Alignment</t>
  </si>
  <si>
    <t>Element</t>
  </si>
  <si>
    <t>Easting</t>
  </si>
  <si>
    <t>Northing</t>
  </si>
  <si>
    <t>Top of Rail Level</t>
  </si>
  <si>
    <t>Azimuth</t>
  </si>
  <si>
    <t>(m.)</t>
  </si>
  <si>
    <t>Hor.</t>
  </si>
  <si>
    <t>Ver.</t>
  </si>
  <si>
    <t>Remark</t>
  </si>
  <si>
    <t>Hor. Offset</t>
  </si>
  <si>
    <t>Ver. Offset</t>
  </si>
  <si>
    <t>(dd-mm-ss)</t>
  </si>
  <si>
    <t>(deg.)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</si>
</sst>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\+000.000"/>
    <numFmt numFmtId="165" formatCode="0.000"/>
    <numFmt numFmtId="166" formatCode="0.0000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charset val="222"/>
      <scheme val="major"/>
    </font>
    <font>
      <b/>
      <sz val="15"/>
      <color theme="3"/>
      <name val="Calibri"/>
      <family val="2"/>
      <charset val="222"/>
      <scheme val="minor"/>
    </font>
    <font>
      <b/>
      <sz val="13"/>
      <color theme="3"/>
      <name val="Calibri"/>
      <family val="2"/>
      <charset val="222"/>
      <scheme val="minor"/>
    </font>
    <font>
      <b/>
      <sz val="11"/>
      <color theme="3"/>
      <name val="Calibri"/>
      <family val="2"/>
      <charset val="222"/>
      <scheme val="minor"/>
    </font>
    <font>
      <sz val="11"/>
      <color rgb="FF006100"/>
      <name val="Calibri"/>
      <family val="2"/>
      <charset val="222"/>
      <scheme val="minor"/>
    </font>
    <font>
      <sz val="11"/>
      <color rgb="FF9C0006"/>
      <name val="Calibri"/>
      <family val="2"/>
      <charset val="222"/>
      <scheme val="minor"/>
    </font>
    <font>
      <sz val="11"/>
      <color rgb="FF9C5700"/>
      <name val="Calibri"/>
      <family val="2"/>
      <charset val="222"/>
      <scheme val="minor"/>
    </font>
    <font>
      <sz val="11"/>
      <color rgb="FF3F3F76"/>
      <name val="Calibri"/>
      <family val="2"/>
      <charset val="222"/>
      <scheme val="minor"/>
    </font>
    <font>
      <b/>
      <sz val="11"/>
      <color rgb="FF3F3F3F"/>
      <name val="Calibri"/>
      <family val="2"/>
      <charset val="222"/>
      <scheme val="minor"/>
    </font>
    <font>
      <b/>
      <sz val="11"/>
      <color rgb="FFFA7D00"/>
      <name val="Calibri"/>
      <family val="2"/>
      <charset val="222"/>
      <scheme val="minor"/>
    </font>
    <font>
      <sz val="11"/>
      <color rgb="FFFA7D00"/>
      <name val="Calibri"/>
      <family val="2"/>
      <charset val="222"/>
      <scheme val="minor"/>
    </font>
    <font>
      <b/>
      <sz val="11"/>
      <color theme="0"/>
      <name val="Calibri"/>
      <family val="2"/>
      <charset val="222"/>
      <scheme val="minor"/>
    </font>
    <font>
      <sz val="11"/>
      <color rgb="FFFF0000"/>
      <name val="Calibri"/>
      <family val="2"/>
      <charset val="222"/>
      <scheme val="minor"/>
    </font>
    <font>
      <i/>
      <sz val="11"/>
      <color rgb="FF7F7F7F"/>
      <name val="Calibri"/>
      <family val="2"/>
      <charset val="222"/>
      <scheme val="minor"/>
    </font>
    <font>
      <b/>
      <sz val="11"/>
      <color theme="1"/>
      <name val="Calibri"/>
      <family val="2"/>
      <charset val="222"/>
      <scheme val="minor"/>
    </font>
    <font>
      <sz val="11"/>
      <color theme="0"/>
      <name val="Calibri"/>
      <family val="2"/>
      <charset val="22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4"/>
      <name val="Arial"/>
      <family val="2"/>
    </font>
    <font>
      <b/>
      <sz val="13"/>
      <color theme="1"/>
      <name val="Arial"/>
      <family val="2"/>
    </font>
    <font>
      <sz val="13"/>
      <color theme="1"/>
      <name val="Arial"/>
      <family val="2"/>
    </font>
    <font>
      <sz val="13"/>
      <color rgb="FF0000FF"/>
      <name val="Arial"/>
      <family val="2"/>
    </font>
    <font>
      <sz val="13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511703848384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8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8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8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8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8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2" fillId="0" borderId="0"/>
  </cellStyleXfs>
  <cellXfs count="20">
    <xf numFmtId="0" fontId="0" fillId="0" borderId="0" xfId="0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165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65" fontId="23" fillId="0" borderId="0" xfId="0" applyNumberFormat="1" applyFont="1" applyAlignment="1">
      <alignment horizontal="center" vertical="center"/>
    </xf>
    <xf numFmtId="166" fontId="23" fillId="0" borderId="0" xfId="0" applyNumberFormat="1" applyFont="1" applyAlignment="1">
      <alignment horizontal="center" vertical="center"/>
    </xf>
    <xf numFmtId="166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165" fontId="24" fillId="0" borderId="0" xfId="0" applyNumberFormat="1" applyFont="1" applyAlignment="1">
      <alignment horizontal="center" vertical="center"/>
    </xf>
    <xf numFmtId="164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  <cellStyle name="ปกติ 2" xfId="41" xr:uid="{61E72C66-54A0-4ECB-BF1E-87DAE4E4FB1F}"/>
    <cellStyle name="ปกติ 3" xfId="43" xr:uid="{90A33A71-B7E4-468F-A9F6-973BF86F573D}"/>
    <cellStyle name="หมายเหตุ 2" xfId="42" xr:uid="{E923E37B-9B50-48A6-94F7-45AF9B82AFF9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482D-2622-4342-A121-D478DE9C8300}">
  <sheetPr codeName="Sheet6">
    <tabColor rgb="FF0070C0"/>
  </sheetPr>
  <dimension ref="B1:N162"/>
  <sheetViews>
    <sheetView tabSelected="1" zoomScale="70" zoomScaleNormal="70" workbookViewId="0">
      <selection activeCell="E8" sqref="E8"/>
    </sheetView>
  </sheetViews>
  <sheetFormatPr defaultColWidth="15.77734375" defaultRowHeight="30" customHeight="1"/>
  <cols>
    <col min="1" max="1" width="6.33203125" style="9" customWidth="1"/>
    <col min="2" max="2" width="11.6640625" style="9" customWidth="1"/>
    <col min="3" max="3" width="25.77734375" style="10" customWidth="1"/>
    <col min="4" max="8" width="25.77734375" style="11" customWidth="1"/>
    <col min="9" max="9" width="15.77734375" style="11" customWidth="1"/>
    <col min="10" max="10" width="20.77734375" style="12" customWidth="1"/>
    <col min="11" max="11" width="15.77734375" style="9" customWidth="1"/>
    <col min="12" max="12" width="15.77734375" style="11" customWidth="1"/>
    <col min="13" max="14" width="25.77734375" style="11" customWidth="1"/>
    <col min="15" max="16384" width="15.77734375" style="9"/>
  </cols>
  <sheetData>
    <row r="1" spans="2:14" ht="30" customHeight="1">
      <c r="C1" s="9"/>
      <c r="D1" s="9"/>
      <c r="E1" s="9"/>
      <c r="F1" s="9"/>
      <c r="G1" s="9"/>
      <c r="H1" s="9"/>
      <c r="I1" s="9"/>
      <c r="J1" s="9"/>
      <c r="L1" s="9"/>
      <c r="M1" s="9"/>
      <c r="N1" s="9"/>
    </row>
    <row r="2" spans="2:14" ht="30" customHeight="1">
      <c r="B2" s="3"/>
      <c r="C2" s="3"/>
      <c r="D2" s="3"/>
      <c r="E2" s="3"/>
      <c r="F2" s="14" t="s">
        <v>142</v>
      </c>
      <c r="G2" s="14"/>
      <c r="H2" s="14"/>
      <c r="I2" s="14"/>
      <c r="J2" s="14"/>
      <c r="K2" s="14" t="s">
        <v>143</v>
      </c>
      <c r="L2" s="14"/>
      <c r="M2" s="3"/>
      <c r="N2" s="3"/>
    </row>
    <row r="3" spans="2:14" ht="30" customHeight="1">
      <c r="B3" s="3" t="s">
        <v>140</v>
      </c>
      <c r="C3" s="3" t="s">
        <v>141</v>
      </c>
      <c r="D3" s="3" t="s">
        <v>152</v>
      </c>
      <c r="E3" s="3" t="s">
        <v>153</v>
      </c>
      <c r="F3" s="3" t="s">
        <v>144</v>
      </c>
      <c r="G3" s="3" t="s">
        <v>145</v>
      </c>
      <c r="H3" s="3" t="s">
        <v>146</v>
      </c>
      <c r="I3" s="14" t="s">
        <v>147</v>
      </c>
      <c r="J3" s="14"/>
      <c r="K3" s="3" t="s">
        <v>149</v>
      </c>
      <c r="L3" s="3" t="s">
        <v>150</v>
      </c>
      <c r="M3" s="3" t="s">
        <v>151</v>
      </c>
      <c r="N3" s="3"/>
    </row>
    <row r="4" spans="2:14" ht="30" customHeight="1">
      <c r="B4" s="3"/>
      <c r="C4" s="3" t="s">
        <v>148</v>
      </c>
      <c r="D4" s="3" t="s">
        <v>148</v>
      </c>
      <c r="E4" s="3" t="s">
        <v>148</v>
      </c>
      <c r="F4" s="3" t="s">
        <v>148</v>
      </c>
      <c r="G4" s="3" t="s">
        <v>148</v>
      </c>
      <c r="H4" s="3" t="s">
        <v>148</v>
      </c>
      <c r="I4" s="3" t="s">
        <v>155</v>
      </c>
      <c r="J4" s="13" t="s">
        <v>154</v>
      </c>
      <c r="K4" s="3"/>
      <c r="L4" s="9"/>
      <c r="M4" s="9"/>
      <c r="N4" s="9"/>
    </row>
    <row r="5" spans="2:14" ht="30" customHeight="1">
      <c r="B5" s="9">
        <v>1</v>
      </c>
      <c r="C5" s="16">
        <v>7202.8339999999998</v>
      </c>
      <c r="D5" s="17">
        <v>0</v>
      </c>
      <c r="E5" s="17">
        <v>0</v>
      </c>
      <c r="F5" s="11">
        <f>Hor(C5,D5,HOR_ARRAY,"E")</f>
        <v>662670.304</v>
      </c>
      <c r="G5" s="11">
        <f>Hor(C5,D5,HOR_ARRAY,"N")</f>
        <v>1521355.848</v>
      </c>
      <c r="H5" s="11">
        <f>ver(C5,VER_ARRAY)+E5</f>
        <v>67.2</v>
      </c>
      <c r="I5" s="11">
        <f>Hor(C5,D5,HOR_ARRAY,"W")</f>
        <v>150.92629300070647</v>
      </c>
      <c r="J5" s="12" t="str">
        <f>DegtoDMSStr2(I5)</f>
        <v xml:space="preserve"> 150 - 55 - 34.65</v>
      </c>
      <c r="K5" s="11" t="str">
        <f>HorType(C5,HOR_ARRAY)</f>
        <v>Linear</v>
      </c>
      <c r="L5" s="11" t="str">
        <f>VerType(C5,VER_ARRAY)</f>
        <v>Linear</v>
      </c>
      <c r="M5" s="11" t="s">
        <v>16</v>
      </c>
    </row>
    <row r="6" spans="2:14" ht="30" customHeight="1">
      <c r="B6" s="9">
        <v>2</v>
      </c>
      <c r="C6" s="16">
        <v>7225</v>
      </c>
      <c r="D6" s="17">
        <v>0</v>
      </c>
      <c r="E6" s="17">
        <v>0</v>
      </c>
      <c r="F6" s="11">
        <f>Hor(C6,D6,HOR_ARRAY,"E")</f>
        <v>662681.07521950733</v>
      </c>
      <c r="G6" s="11">
        <f>Hor(C6,D6,HOR_ARRAY,"N")</f>
        <v>1521336.4750191679</v>
      </c>
      <c r="H6" s="11">
        <f>ver(C6,VER_ARRAY)+E6</f>
        <v>67.2</v>
      </c>
      <c r="I6" s="11">
        <f>Hor(C6,D6,HOR_ARRAY,"W")</f>
        <v>150.92629300070647</v>
      </c>
      <c r="J6" s="12" t="str">
        <f>DegtoDMSStr2(Hor(C6,D6,HOR_ARRAY,"W"))</f>
        <v xml:space="preserve"> 150 - 55 - 34.65</v>
      </c>
      <c r="K6" s="11" t="str">
        <f>HorType(C6,HOR_ARRAY)</f>
        <v>Linear</v>
      </c>
      <c r="L6" s="11" t="str">
        <f>VerType(C6,VER_ARRAY)</f>
        <v>Linear</v>
      </c>
      <c r="N6" s="12"/>
    </row>
    <row r="7" spans="2:14" ht="30" customHeight="1">
      <c r="B7" s="9">
        <v>3</v>
      </c>
      <c r="C7" s="16">
        <v>7250</v>
      </c>
      <c r="D7" s="17">
        <v>0</v>
      </c>
      <c r="E7" s="17">
        <v>0</v>
      </c>
      <c r="F7" s="11">
        <f>Hor(C7,D7,HOR_ARRAY,"E")</f>
        <v>662693.22357679694</v>
      </c>
      <c r="G7" s="11">
        <f>Hor(C7,D7,HOR_ARRAY,"N")</f>
        <v>1521314.6251355258</v>
      </c>
      <c r="H7" s="11">
        <f>ver(C7,VER_ARRAY)+E7</f>
        <v>67.237225156474338</v>
      </c>
      <c r="I7" s="11">
        <f>Hor(C7,D7,HOR_ARRAY,"W")</f>
        <v>150.92629300070647</v>
      </c>
      <c r="J7" s="12" t="str">
        <f>DegtoDMSStr2(Hor(C7,D7,HOR_ARRAY,"W"))</f>
        <v xml:space="preserve"> 150 - 55 - 34.65</v>
      </c>
      <c r="K7" s="11" t="str">
        <f>HorType(C7,HOR_ARRAY)</f>
        <v>Linear</v>
      </c>
      <c r="L7" s="11" t="str">
        <f>VerType(C7,VER_ARRAY)</f>
        <v>Parabola</v>
      </c>
      <c r="N7" s="12"/>
    </row>
    <row r="8" spans="2:14" ht="30" customHeight="1">
      <c r="B8" s="9">
        <v>4</v>
      </c>
      <c r="C8" s="16">
        <v>7275</v>
      </c>
      <c r="D8" s="17">
        <v>0</v>
      </c>
      <c r="E8" s="17">
        <v>0</v>
      </c>
      <c r="F8" s="11">
        <f>Hor(C8,D8,HOR_ARRAY,"E")</f>
        <v>662705.37193408655</v>
      </c>
      <c r="G8" s="11">
        <f>Hor(C8,D8,HOR_ARRAY,"N")</f>
        <v>1521292.775251884</v>
      </c>
      <c r="H8" s="11">
        <f>ver(C8,VER_ARRAY)+E8</f>
        <v>67.474779848946369</v>
      </c>
      <c r="I8" s="11">
        <f>Hor(C8,D8,HOR_ARRAY,"W")</f>
        <v>150.92629300070647</v>
      </c>
      <c r="J8" s="12" t="str">
        <f>DegtoDMSStr2(Hor(C8,D8,HOR_ARRAY,"W"))</f>
        <v xml:space="preserve"> 150 - 55 - 34.65</v>
      </c>
      <c r="K8" s="11" t="str">
        <f>HorType(C8,HOR_ARRAY)</f>
        <v>Linear</v>
      </c>
      <c r="L8" s="11" t="str">
        <f>VerType(C8,VER_ARRAY)</f>
        <v>Parabola</v>
      </c>
      <c r="N8" s="12"/>
    </row>
    <row r="9" spans="2:14" ht="30" customHeight="1">
      <c r="B9" s="9">
        <v>5</v>
      </c>
      <c r="C9" s="16">
        <v>7300</v>
      </c>
      <c r="D9" s="17">
        <v>0</v>
      </c>
      <c r="E9" s="17">
        <v>0</v>
      </c>
      <c r="F9" s="11">
        <f>Hor(C9,D9,HOR_ARRAY,"E")</f>
        <v>662717.34674047551</v>
      </c>
      <c r="G9" s="11">
        <f>Hor(C9,D9,HOR_ARRAY,"N")</f>
        <v>1521270.8309655103</v>
      </c>
      <c r="H9" s="11">
        <f>ver(C9,VER_ARRAY)+E9</f>
        <v>67.931795956948477</v>
      </c>
      <c r="I9" s="11">
        <f>Hor(C9,D9,HOR_ARRAY,"W")</f>
        <v>152.69220500312085</v>
      </c>
      <c r="J9" s="12" t="str">
        <f>DegtoDMSStr2(Hor(C9,D9,HOR_ARRAY,"W"))</f>
        <v xml:space="preserve"> 152 - 41 - 31.94</v>
      </c>
      <c r="K9" s="11" t="str">
        <f>HorType(C9,HOR_ARRAY)</f>
        <v>Clothoid</v>
      </c>
      <c r="L9" s="11" t="str">
        <f>VerType(C9,VER_ARRAY)</f>
        <v>Parabola</v>
      </c>
    </row>
    <row r="10" spans="2:14" ht="30" customHeight="1">
      <c r="B10" s="9">
        <v>6</v>
      </c>
      <c r="C10" s="16">
        <v>7325</v>
      </c>
      <c r="D10" s="17">
        <v>0</v>
      </c>
      <c r="E10" s="17">
        <v>0</v>
      </c>
      <c r="F10" s="11">
        <f>Hor(C10,D10,HOR_ARRAY,"E")</f>
        <v>662727.58921899833</v>
      </c>
      <c r="G10" s="11">
        <f>Hor(C10,D10,HOR_ARRAY,"N")</f>
        <v>1521248.0415076627</v>
      </c>
      <c r="H10" s="11">
        <f>ver(C10,VER_ARRAY)+E10</f>
        <v>68.608273480480648</v>
      </c>
      <c r="I10" s="11">
        <f>Hor(C10,D10,HOR_ARRAY,"W")</f>
        <v>159.30050920736022</v>
      </c>
      <c r="J10" s="12" t="str">
        <f>DegtoDMSStr2(Hor(C10,D10,HOR_ARRAY,"W"))</f>
        <v xml:space="preserve"> 159 - 18 - 1.83</v>
      </c>
      <c r="K10" s="11" t="str">
        <f>HorType(C10,HOR_ARRAY)</f>
        <v>Circular</v>
      </c>
      <c r="L10" s="11" t="str">
        <f>VerType(C10,VER_ARRAY)</f>
        <v>Parabola</v>
      </c>
    </row>
    <row r="11" spans="2:14" ht="30" customHeight="1">
      <c r="B11" s="9">
        <v>7</v>
      </c>
      <c r="C11" s="16">
        <v>7350</v>
      </c>
      <c r="D11" s="17">
        <v>0</v>
      </c>
      <c r="E11" s="17">
        <v>0</v>
      </c>
      <c r="F11" s="11">
        <f>Hor(C11,D11,HOR_ARRAY,"E")</f>
        <v>662734.94315220695</v>
      </c>
      <c r="G11" s="11">
        <f>Hor(C11,D11,HOR_ARRAY,"N")</f>
        <v>1521224.1646090362</v>
      </c>
      <c r="H11" s="11">
        <f>ver(C11,VER_ARRAY)+E11</f>
        <v>69.398300755943353</v>
      </c>
      <c r="I11" s="11">
        <f>Hor(C11,D11,HOR_ARRAY,"W")</f>
        <v>166.46248144719547</v>
      </c>
      <c r="J11" s="12" t="str">
        <f>DegtoDMSStr2(Hor(C11,D11,HOR_ARRAY,"W"))</f>
        <v xml:space="preserve"> 166 - 27 - 44.93</v>
      </c>
      <c r="K11" s="11" t="str">
        <f>HorType(C11,HOR_ARRAY)</f>
        <v>Circular</v>
      </c>
      <c r="L11" s="11" t="str">
        <f>VerType(C11,VER_ARRAY)</f>
        <v>Linear</v>
      </c>
    </row>
    <row r="12" spans="2:14" ht="30" customHeight="1">
      <c r="B12" s="9">
        <v>8</v>
      </c>
      <c r="C12" s="16">
        <v>7375</v>
      </c>
      <c r="D12" s="17">
        <v>0</v>
      </c>
      <c r="E12" s="17">
        <v>0</v>
      </c>
      <c r="F12" s="11">
        <f>Hor(C12,D12,HOR_ARRAY,"E")</f>
        <v>662739.26286161121</v>
      </c>
      <c r="G12" s="11">
        <f>Hor(C12,D12,HOR_ARRAY,"N")</f>
        <v>1521199.5571562564</v>
      </c>
      <c r="H12" s="11">
        <f>ver(C12,VER_ARRAY)+E12</f>
        <v>70.18836185185161</v>
      </c>
      <c r="I12" s="11">
        <f>Hor(C12,D12,HOR_ARRAY,"W")</f>
        <v>173.62445368703072</v>
      </c>
      <c r="J12" s="12" t="str">
        <f>DegtoDMSStr2(Hor(C12,D12,HOR_ARRAY,"W"))</f>
        <v xml:space="preserve"> 173 - 37 - 28.03</v>
      </c>
      <c r="K12" s="11" t="str">
        <f>HorType(C12,HOR_ARRAY)</f>
        <v>Circular</v>
      </c>
      <c r="L12" s="11" t="str">
        <f>VerType(C12,VER_ARRAY)</f>
        <v>Linear</v>
      </c>
    </row>
    <row r="13" spans="2:14" ht="30" customHeight="1">
      <c r="B13" s="9">
        <v>9</v>
      </c>
      <c r="C13" s="16">
        <v>7400</v>
      </c>
      <c r="D13" s="17">
        <v>0</v>
      </c>
      <c r="E13" s="17">
        <v>0</v>
      </c>
      <c r="F13" s="11">
        <f>Hor(C13,D13,HOR_ARRAY,"E")</f>
        <v>662740.4809395906</v>
      </c>
      <c r="G13" s="11">
        <f>Hor(C13,D13,HOR_ARRAY,"N")</f>
        <v>1521174.6031403933</v>
      </c>
      <c r="H13" s="11">
        <f>ver(C13,VER_ARRAY)+E13</f>
        <v>70.978422947759867</v>
      </c>
      <c r="I13" s="11">
        <f>Hor(C13,D13,HOR_ARRAY,"W")</f>
        <v>180.786425926866</v>
      </c>
      <c r="J13" s="12" t="str">
        <f>DegtoDMSStr2(Hor(C13,D13,HOR_ARRAY,"W"))</f>
        <v xml:space="preserve"> 180 - 47 - 11.13</v>
      </c>
      <c r="K13" s="11" t="str">
        <f>HorType(C13,HOR_ARRAY)</f>
        <v>Circular</v>
      </c>
      <c r="L13" s="11" t="str">
        <f>VerType(C13,VER_ARRAY)</f>
        <v>Linear</v>
      </c>
    </row>
    <row r="14" spans="2:14" ht="30" customHeight="1">
      <c r="B14" s="9">
        <v>10</v>
      </c>
      <c r="C14" s="16">
        <v>7425</v>
      </c>
      <c r="D14" s="17">
        <v>0</v>
      </c>
      <c r="E14" s="17">
        <v>0</v>
      </c>
      <c r="F14" s="11">
        <f>Hor(C14,D14,HOR_ARRAY,"E")</f>
        <v>662738.5783784457</v>
      </c>
      <c r="G14" s="11">
        <f>Hor(C14,D14,HOR_ARRAY,"N")</f>
        <v>1521149.6919605187</v>
      </c>
      <c r="H14" s="11">
        <f>ver(C14,VER_ARRAY)+E14</f>
        <v>71.768484043668124</v>
      </c>
      <c r="I14" s="11">
        <f>Hor(C14,D14,HOR_ARRAY,"W")</f>
        <v>187.94839816670125</v>
      </c>
      <c r="J14" s="12" t="str">
        <f>DegtoDMSStr2(Hor(C14,D14,HOR_ARRAY,"W"))</f>
        <v xml:space="preserve"> 187 - 56 - 54.23</v>
      </c>
      <c r="K14" s="11" t="str">
        <f>HorType(C14,HOR_ARRAY)</f>
        <v>Circular</v>
      </c>
      <c r="L14" s="11" t="str">
        <f>VerType(C14,VER_ARRAY)</f>
        <v>Linear</v>
      </c>
    </row>
    <row r="15" spans="2:14" ht="30" customHeight="1">
      <c r="B15" s="9">
        <v>11</v>
      </c>
      <c r="C15" s="16">
        <v>7450</v>
      </c>
      <c r="D15" s="17">
        <v>0</v>
      </c>
      <c r="E15" s="17">
        <v>0</v>
      </c>
      <c r="F15" s="11">
        <f>Hor(C15,D15,HOR_ARRAY,"E")</f>
        <v>662733.73196504242</v>
      </c>
      <c r="G15" s="11">
        <f>Hor(C15,D15,HOR_ARRAY,"N")</f>
        <v>1521125.1772880487</v>
      </c>
      <c r="H15" s="11">
        <f>ver(C15,VER_ARRAY)+E15</f>
        <v>72.558545139576381</v>
      </c>
      <c r="I15" s="11">
        <f>Hor(C15,D15,HOR_ARRAY,"W")</f>
        <v>193.63276114507923</v>
      </c>
      <c r="J15" s="12" t="str">
        <f>DegtoDMSStr2(Hor(C15,D15,HOR_ARRAY,"W"))</f>
        <v xml:space="preserve"> 193 - 37 - 57.94</v>
      </c>
      <c r="K15" s="11" t="str">
        <f>HorType(C15,HOR_ARRAY)</f>
        <v>Clothoid</v>
      </c>
      <c r="L15" s="11" t="str">
        <f>VerType(C15,VER_ARRAY)</f>
        <v>Linear</v>
      </c>
    </row>
    <row r="16" spans="2:14" ht="30" customHeight="1">
      <c r="B16" s="9">
        <v>12</v>
      </c>
      <c r="C16" s="16">
        <v>7475</v>
      </c>
      <c r="D16" s="17">
        <v>0</v>
      </c>
      <c r="E16" s="17">
        <v>0</v>
      </c>
      <c r="F16" s="11">
        <f>Hor(C16,D16,HOR_ARRAY,"E")</f>
        <v>662727.57975073252</v>
      </c>
      <c r="G16" s="11">
        <f>Hor(C16,D16,HOR_ARRAY,"N")</f>
        <v>1521100.946257171</v>
      </c>
      <c r="H16" s="11">
        <f>ver(C16,VER_ARRAY)+E16</f>
        <v>73.348606235484638</v>
      </c>
      <c r="I16" s="11">
        <f>Hor(C16,D16,HOR_ARRAY,"W")</f>
        <v>194.36788655481212</v>
      </c>
      <c r="J16" s="12" t="str">
        <f>DegtoDMSStr2(Hor(C16,D16,HOR_ARRAY,"W"))</f>
        <v xml:space="preserve"> 194 - 22 - 4.39</v>
      </c>
      <c r="K16" s="11" t="str">
        <f>HorType(C16,HOR_ARRAY)</f>
        <v>Linear</v>
      </c>
      <c r="L16" s="11" t="str">
        <f>VerType(C16,VER_ARRAY)</f>
        <v>Linear</v>
      </c>
    </row>
    <row r="17" spans="2:12" ht="30" customHeight="1">
      <c r="B17" s="9">
        <v>13</v>
      </c>
      <c r="C17" s="16">
        <v>7500</v>
      </c>
      <c r="D17" s="17">
        <v>0</v>
      </c>
      <c r="E17" s="17">
        <v>0</v>
      </c>
      <c r="F17" s="11">
        <f>Hor(C17,D17,HOR_ARRAY,"E")</f>
        <v>662721.37635222741</v>
      </c>
      <c r="G17" s="11">
        <f>Hor(C17,D17,HOR_ARRAY,"N")</f>
        <v>1521076.7281266437</v>
      </c>
      <c r="H17" s="11">
        <f>ver(C17,VER_ARRAY)+E17</f>
        <v>74.138667331392895</v>
      </c>
      <c r="I17" s="11">
        <f>Hor(C17,D17,HOR_ARRAY,"W")</f>
        <v>194.3569965551871</v>
      </c>
      <c r="J17" s="12" t="str">
        <f>DegtoDMSStr2(Hor(C17,D17,HOR_ARRAY,"W"))</f>
        <v xml:space="preserve"> 194 - 21 - 25.19</v>
      </c>
      <c r="K17" s="11" t="str">
        <f>HorType(C17,HOR_ARRAY)</f>
        <v>Clothoid</v>
      </c>
      <c r="L17" s="11" t="str">
        <f>VerType(C17,VER_ARRAY)</f>
        <v>Linear</v>
      </c>
    </row>
    <row r="18" spans="2:12" ht="30" customHeight="1">
      <c r="B18" s="9">
        <v>14</v>
      </c>
      <c r="C18" s="16">
        <v>7525</v>
      </c>
      <c r="D18" s="17">
        <v>0</v>
      </c>
      <c r="E18" s="17">
        <v>0</v>
      </c>
      <c r="F18" s="11">
        <f>Hor(C18,D18,HOR_ARRAY,"E")</f>
        <v>662715.24808128539</v>
      </c>
      <c r="G18" s="11">
        <f>Hor(C18,D18,HOR_ARRAY,"N")</f>
        <v>1521052.4909422488</v>
      </c>
      <c r="H18" s="11">
        <f>ver(C18,VER_ARRAY)+E18</f>
        <v>74.928728427301138</v>
      </c>
      <c r="I18" s="11">
        <f>Hor(C18,D18,HOR_ARRAY,"W")</f>
        <v>193.92325960747573</v>
      </c>
      <c r="J18" s="12" t="str">
        <f>DegtoDMSStr2(Hor(C18,D18,HOR_ARRAY,"W"))</f>
        <v xml:space="preserve"> 193 - 55 - 23.73</v>
      </c>
      <c r="K18" s="11" t="str">
        <f>HorType(C18,HOR_ARRAY)</f>
        <v>Circular</v>
      </c>
      <c r="L18" s="11" t="str">
        <f>VerType(C18,VER_ARRAY)</f>
        <v>Linear</v>
      </c>
    </row>
    <row r="19" spans="2:12" ht="30" customHeight="1">
      <c r="B19" s="9">
        <v>15</v>
      </c>
      <c r="C19" s="16">
        <v>7550</v>
      </c>
      <c r="D19" s="17">
        <v>0</v>
      </c>
      <c r="E19" s="17">
        <v>0</v>
      </c>
      <c r="F19" s="11">
        <f>Hor(C19,D19,HOR_ARRAY,"E")</f>
        <v>662709.37036083976</v>
      </c>
      <c r="G19" s="11">
        <f>Hor(C19,D19,HOR_ARRAY,"N")</f>
        <v>1521028.1918533253</v>
      </c>
      <c r="H19" s="11">
        <f>ver(C19,VER_ARRAY)+E19</f>
        <v>75.718789523209409</v>
      </c>
      <c r="I19" s="11">
        <f>Hor(C19,D19,HOR_ARRAY,"W")</f>
        <v>193.27985447933898</v>
      </c>
      <c r="J19" s="12" t="str">
        <f>DegtoDMSStr2(Hor(C19,D19,HOR_ARRAY,"W"))</f>
        <v xml:space="preserve"> 193 - 16 - 47.48</v>
      </c>
      <c r="K19" s="11" t="str">
        <f>HorType(C19,HOR_ARRAY)</f>
        <v>Clothoid</v>
      </c>
      <c r="L19" s="11" t="str">
        <f>VerType(C19,VER_ARRAY)</f>
        <v>Linear</v>
      </c>
    </row>
    <row r="20" spans="2:12" ht="30" customHeight="1">
      <c r="B20" s="9">
        <v>16</v>
      </c>
      <c r="C20" s="16">
        <v>7575</v>
      </c>
      <c r="D20" s="17">
        <v>0</v>
      </c>
      <c r="E20" s="17">
        <v>0</v>
      </c>
      <c r="F20" s="11">
        <f>Hor(C20,D20,HOR_ARRAY,"E")</f>
        <v>662703.69879645074</v>
      </c>
      <c r="G20" s="11">
        <f>Hor(C20,D20,HOR_ARRAY,"N")</f>
        <v>1521003.8437029026</v>
      </c>
      <c r="H20" s="11">
        <f>ver(C20,VER_ARRAY)+E20</f>
        <v>76.423381082398208</v>
      </c>
      <c r="I20" s="11">
        <f>Hor(C20,D20,HOR_ARRAY,"W")</f>
        <v>193.04665218705497</v>
      </c>
      <c r="J20" s="12" t="str">
        <f>DegtoDMSStr2(Hor(C20,D20,HOR_ARRAY,"W"))</f>
        <v xml:space="preserve"> 193 - 2 - 47.95</v>
      </c>
      <c r="K20" s="11" t="str">
        <f>HorType(C20,HOR_ARRAY)</f>
        <v>Linear</v>
      </c>
      <c r="L20" s="11" t="str">
        <f>VerType(C20,VER_ARRAY)</f>
        <v>Parabola</v>
      </c>
    </row>
    <row r="21" spans="2:12" ht="30" customHeight="1">
      <c r="B21" s="9">
        <v>17</v>
      </c>
      <c r="C21" s="16">
        <v>7600</v>
      </c>
      <c r="D21" s="17">
        <v>0</v>
      </c>
      <c r="E21" s="17">
        <v>0</v>
      </c>
      <c r="F21" s="11">
        <f>Hor(C21,D21,HOR_ARRAY,"E")</f>
        <v>662698.05518553767</v>
      </c>
      <c r="G21" s="11">
        <f>Hor(C21,D21,HOR_ARRAY,"N")</f>
        <v>1520979.489038958</v>
      </c>
      <c r="H21" s="11">
        <f>ver(C21,VER_ARRAY)+E21</f>
        <v>76.852739784969557</v>
      </c>
      <c r="I21" s="11">
        <f>Hor(C21,D21,HOR_ARRAY,"W")</f>
        <v>193.04665218705497</v>
      </c>
      <c r="J21" s="12" t="str">
        <f>DegtoDMSStr2(Hor(C21,D21,HOR_ARRAY,"W"))</f>
        <v xml:space="preserve"> 193 - 2 - 47.95</v>
      </c>
      <c r="K21" s="11" t="str">
        <f>HorType(C21,HOR_ARRAY)</f>
        <v>Linear</v>
      </c>
      <c r="L21" s="11" t="str">
        <f>VerType(C21,VER_ARRAY)</f>
        <v>Parabola</v>
      </c>
    </row>
    <row r="22" spans="2:12" ht="30" customHeight="1">
      <c r="B22" s="9">
        <v>18</v>
      </c>
      <c r="C22" s="16">
        <v>7625</v>
      </c>
      <c r="D22" s="17">
        <v>0</v>
      </c>
      <c r="E22" s="17">
        <v>0</v>
      </c>
      <c r="F22" s="11">
        <f>Hor(C22,D22,HOR_ARRAY,"E")</f>
        <v>662692.4115746246</v>
      </c>
      <c r="G22" s="11">
        <f>Hor(C22,D22,HOR_ARRAY,"N")</f>
        <v>1520955.1343750132</v>
      </c>
      <c r="H22" s="11">
        <f>ver(C22,VER_ARRAY)+E22</f>
        <v>76.999933810430804</v>
      </c>
      <c r="I22" s="11">
        <f>Hor(C22,D22,HOR_ARRAY,"W")</f>
        <v>193.04665218705497</v>
      </c>
      <c r="J22" s="12" t="str">
        <f>DegtoDMSStr2(Hor(C22,D22,HOR_ARRAY,"W"))</f>
        <v xml:space="preserve"> 193 - 2 - 47.95</v>
      </c>
      <c r="K22" s="11" t="str">
        <f>HorType(C22,HOR_ARRAY)</f>
        <v>Linear</v>
      </c>
      <c r="L22" s="11" t="str">
        <f>VerType(C22,VER_ARRAY)</f>
        <v>Parabola</v>
      </c>
    </row>
    <row r="23" spans="2:12" ht="30" customHeight="1">
      <c r="B23" s="9">
        <v>19</v>
      </c>
      <c r="C23" s="16">
        <v>7650</v>
      </c>
      <c r="D23" s="17">
        <v>0</v>
      </c>
      <c r="E23" s="17">
        <v>0</v>
      </c>
      <c r="F23" s="11">
        <f>Hor(C23,D23,HOR_ARRAY,"E")</f>
        <v>662686.76796371152</v>
      </c>
      <c r="G23" s="11">
        <f>Hor(C23,D23,HOR_ARRAY,"N")</f>
        <v>1520930.7797110684</v>
      </c>
      <c r="H23" s="11">
        <f>ver(C23,VER_ARRAY)+E23</f>
        <v>77</v>
      </c>
      <c r="I23" s="11">
        <f>Hor(C23,D23,HOR_ARRAY,"W")</f>
        <v>193.04665218705497</v>
      </c>
      <c r="J23" s="12" t="str">
        <f>DegtoDMSStr2(Hor(C23,D23,HOR_ARRAY,"W"))</f>
        <v xml:space="preserve"> 193 - 2 - 47.95</v>
      </c>
      <c r="K23" s="11" t="str">
        <f>HorType(C23,HOR_ARRAY)</f>
        <v>Linear</v>
      </c>
      <c r="L23" s="11" t="str">
        <f>VerType(C23,VER_ARRAY)</f>
        <v>Linear</v>
      </c>
    </row>
    <row r="24" spans="2:12" ht="30" customHeight="1">
      <c r="B24" s="9">
        <v>20</v>
      </c>
      <c r="C24" s="16">
        <v>7675</v>
      </c>
      <c r="D24" s="17">
        <v>0</v>
      </c>
      <c r="E24" s="17">
        <v>0</v>
      </c>
      <c r="F24" s="11">
        <f>Hor(C24,D24,HOR_ARRAY,"E")</f>
        <v>662681.12435279845</v>
      </c>
      <c r="G24" s="11">
        <f>Hor(C24,D24,HOR_ARRAY,"N")</f>
        <v>1520906.4250471236</v>
      </c>
      <c r="H24" s="11">
        <f>ver(C24,VER_ARRAY)+E24</f>
        <v>77</v>
      </c>
      <c r="I24" s="11">
        <f>Hor(C24,D24,HOR_ARRAY,"W")</f>
        <v>193.04665218705497</v>
      </c>
      <c r="J24" s="12" t="str">
        <f>DegtoDMSStr2(Hor(C24,D24,HOR_ARRAY,"W"))</f>
        <v xml:space="preserve"> 193 - 2 - 47.95</v>
      </c>
      <c r="K24" s="11" t="str">
        <f>HorType(C24,HOR_ARRAY)</f>
        <v>Linear</v>
      </c>
      <c r="L24" s="11" t="str">
        <f>VerType(C24,VER_ARRAY)</f>
        <v>Linear</v>
      </c>
    </row>
    <row r="25" spans="2:12" ht="30" customHeight="1">
      <c r="B25" s="9">
        <v>21</v>
      </c>
      <c r="C25" s="16">
        <v>7700</v>
      </c>
      <c r="D25" s="17">
        <v>0</v>
      </c>
      <c r="E25" s="17">
        <v>0</v>
      </c>
      <c r="F25" s="11">
        <f>Hor(C25,D25,HOR_ARRAY,"E")</f>
        <v>662675.46524006291</v>
      </c>
      <c r="G25" s="11">
        <f>Hor(C25,D25,HOR_ARRAY,"N")</f>
        <v>1520882.0739886283</v>
      </c>
      <c r="H25" s="11">
        <f>ver(C25,VER_ARRAY)+E25</f>
        <v>77.026179968205625</v>
      </c>
      <c r="I25" s="11">
        <f>Hor(C25,D25,HOR_ARRAY,"W")</f>
        <v>193.20175769049976</v>
      </c>
      <c r="J25" s="12" t="str">
        <f>DegtoDMSStr2(Hor(C25,D25,HOR_ARRAY,"W"))</f>
        <v xml:space="preserve"> 193 - 12 - 6.33</v>
      </c>
      <c r="K25" s="11" t="str">
        <f>HorType(C25,HOR_ARRAY)</f>
        <v>Clothoid</v>
      </c>
      <c r="L25" s="11" t="str">
        <f>VerType(C25,VER_ARRAY)</f>
        <v>Parabola</v>
      </c>
    </row>
    <row r="26" spans="2:12" ht="30" customHeight="1">
      <c r="B26" s="9">
        <v>22</v>
      </c>
      <c r="C26" s="16">
        <v>7725</v>
      </c>
      <c r="D26" s="17">
        <v>0</v>
      </c>
      <c r="E26" s="17">
        <v>0</v>
      </c>
      <c r="F26" s="11">
        <f>Hor(C26,D26,HOR_ARRAY,"E")</f>
        <v>662669.6338717934</v>
      </c>
      <c r="G26" s="11">
        <f>Hor(C26,D26,HOR_ARRAY,"N")</f>
        <v>1520857.7637181582</v>
      </c>
      <c r="H26" s="11">
        <f>ver(C26,VER_ARRAY)+E26</f>
        <v>77.145838038184252</v>
      </c>
      <c r="I26" s="11">
        <f>Hor(C26,D26,HOR_ARRAY,"W")</f>
        <v>193.79757984128443</v>
      </c>
      <c r="J26" s="12" t="str">
        <f>DegtoDMSStr2(Hor(C26,D26,HOR_ARRAY,"W"))</f>
        <v xml:space="preserve"> 193 - 47 - 51.29</v>
      </c>
      <c r="K26" s="11" t="str">
        <f>HorType(C26,HOR_ARRAY)</f>
        <v>Circular</v>
      </c>
      <c r="L26" s="11" t="str">
        <f>VerType(C26,VER_ARRAY)</f>
        <v>Parabola</v>
      </c>
    </row>
    <row r="27" spans="2:12" ht="30" customHeight="1">
      <c r="B27" s="9">
        <v>23</v>
      </c>
      <c r="C27" s="16">
        <v>7750</v>
      </c>
      <c r="D27" s="17">
        <v>0</v>
      </c>
      <c r="E27" s="17">
        <v>0</v>
      </c>
      <c r="F27" s="11">
        <f>Hor(C27,D27,HOR_ARRAY,"E")</f>
        <v>662663.54104147491</v>
      </c>
      <c r="G27" s="11">
        <f>Hor(C27,D27,HOR_ARRAY,"N")</f>
        <v>1520833.5176552746</v>
      </c>
      <c r="H27" s="11">
        <f>ver(C27,VER_ARRAY)+E27</f>
        <v>77.336191146011942</v>
      </c>
      <c r="I27" s="11">
        <f>Hor(C27,D27,HOR_ARRAY,"W")</f>
        <v>194.39038213021331</v>
      </c>
      <c r="J27" s="12" t="str">
        <f>DegtoDMSStr2(Hor(C27,D27,HOR_ARRAY,"W"))</f>
        <v xml:space="preserve"> 194 - 23 - 25.38</v>
      </c>
      <c r="K27" s="11" t="str">
        <f>HorType(C27,HOR_ARRAY)</f>
        <v>Clothoid</v>
      </c>
      <c r="L27" s="11" t="str">
        <f>VerType(C27,VER_ARRAY)</f>
        <v>Linear</v>
      </c>
    </row>
    <row r="28" spans="2:12" ht="30" customHeight="1">
      <c r="B28" s="9">
        <v>24</v>
      </c>
      <c r="C28" s="16">
        <v>7775</v>
      </c>
      <c r="D28" s="17">
        <v>0</v>
      </c>
      <c r="E28" s="17">
        <v>0</v>
      </c>
      <c r="F28" s="11">
        <f>Hor(C28,D28,HOR_ARRAY,"E")</f>
        <v>662657.27966163377</v>
      </c>
      <c r="G28" s="11">
        <f>Hor(C28,D28,HOR_ARRAY,"N")</f>
        <v>1520809.3144578252</v>
      </c>
      <c r="H28" s="11">
        <f>ver(C28,VER_ARRAY)+E28</f>
        <v>77.529941158121318</v>
      </c>
      <c r="I28" s="11">
        <f>Hor(C28,D28,HOR_ARRAY,"W")</f>
        <v>194.53851619383349</v>
      </c>
      <c r="J28" s="12" t="str">
        <f>DegtoDMSStr2(Hor(C28,D28,HOR_ARRAY,"W"))</f>
        <v xml:space="preserve"> 194 - 32 - 18.66</v>
      </c>
      <c r="K28" s="11" t="str">
        <f>HorType(C28,HOR_ARRAY)</f>
        <v>Linear</v>
      </c>
      <c r="L28" s="11" t="str">
        <f>VerType(C28,VER_ARRAY)</f>
        <v>Linear</v>
      </c>
    </row>
    <row r="29" spans="2:12" ht="30" customHeight="1">
      <c r="B29" s="9">
        <v>25</v>
      </c>
      <c r="C29" s="16">
        <v>7800</v>
      </c>
      <c r="D29" s="17">
        <v>0</v>
      </c>
      <c r="E29" s="17">
        <v>0</v>
      </c>
      <c r="F29" s="11">
        <f>Hor(C29,D29,HOR_ARRAY,"E")</f>
        <v>662651.00389010785</v>
      </c>
      <c r="G29" s="11">
        <f>Hor(C29,D29,HOR_ARRAY,"N")</f>
        <v>1520785.1149807284</v>
      </c>
      <c r="H29" s="11">
        <f>ver(C29,VER_ARRAY)+E29</f>
        <v>77.723691170230694</v>
      </c>
      <c r="I29" s="11">
        <f>Hor(C29,D29,HOR_ARRAY,"W")</f>
        <v>194.53851619383349</v>
      </c>
      <c r="J29" s="12" t="str">
        <f>DegtoDMSStr2(Hor(C29,D29,HOR_ARRAY,"W"))</f>
        <v xml:space="preserve"> 194 - 32 - 18.66</v>
      </c>
      <c r="K29" s="11" t="str">
        <f>HorType(C29,HOR_ARRAY)</f>
        <v>Linear</v>
      </c>
      <c r="L29" s="11" t="str">
        <f>VerType(C29,VER_ARRAY)</f>
        <v>Linear</v>
      </c>
    </row>
    <row r="30" spans="2:12" ht="30" customHeight="1">
      <c r="B30" s="9">
        <v>26</v>
      </c>
      <c r="C30" s="16">
        <v>7825</v>
      </c>
      <c r="D30" s="17">
        <v>0</v>
      </c>
      <c r="E30" s="17">
        <v>0</v>
      </c>
      <c r="F30" s="11">
        <f>Hor(C30,D30,HOR_ARRAY,"E")</f>
        <v>662644.74919226754</v>
      </c>
      <c r="G30" s="11">
        <f>Hor(C30,D30,HOR_ARRAY,"N")</f>
        <v>1520760.9100606644</v>
      </c>
      <c r="H30" s="11">
        <f>ver(C30,VER_ARRAY)+E30</f>
        <v>77.91744118234007</v>
      </c>
      <c r="I30" s="11">
        <f>Hor(C30,D30,HOR_ARRAY,"W")</f>
        <v>194.35015401874568</v>
      </c>
      <c r="J30" s="12" t="str">
        <f>DegtoDMSStr2(Hor(C30,D30,HOR_ARRAY,"W"))</f>
        <v xml:space="preserve"> 194 - 21 - 0.55</v>
      </c>
      <c r="K30" s="11" t="str">
        <f>HorType(C30,HOR_ARRAY)</f>
        <v>Clothoid</v>
      </c>
      <c r="L30" s="11" t="str">
        <f>VerType(C30,VER_ARRAY)</f>
        <v>Linear</v>
      </c>
    </row>
    <row r="31" spans="2:12" ht="30" customHeight="1">
      <c r="B31" s="9">
        <v>27</v>
      </c>
      <c r="C31" s="16">
        <v>7850</v>
      </c>
      <c r="D31" s="17">
        <v>0</v>
      </c>
      <c r="E31" s="17">
        <v>0</v>
      </c>
      <c r="F31" s="11">
        <f>Hor(C31,D31,HOR_ARRAY,"E")</f>
        <v>662638.67430108739</v>
      </c>
      <c r="G31" s="11">
        <f>Hor(C31,D31,HOR_ARRAY,"N")</f>
        <v>1520736.659490905</v>
      </c>
      <c r="H31" s="11">
        <f>ver(C31,VER_ARRAY)+E31</f>
        <v>78.111191194449447</v>
      </c>
      <c r="I31" s="11">
        <f>Hor(C31,D31,HOR_ARRAY,"W")</f>
        <v>193.76592690714486</v>
      </c>
      <c r="J31" s="12" t="str">
        <f>DegtoDMSStr2(Hor(C31,D31,HOR_ARRAY,"W"))</f>
        <v xml:space="preserve"> 193 - 45 - 57.34</v>
      </c>
      <c r="K31" s="11" t="str">
        <f>HorType(C31,HOR_ARRAY)</f>
        <v>Circular</v>
      </c>
      <c r="L31" s="11" t="str">
        <f>VerType(C31,VER_ARRAY)</f>
        <v>Linear</v>
      </c>
    </row>
    <row r="32" spans="2:12" ht="30" customHeight="1">
      <c r="B32" s="9">
        <v>28</v>
      </c>
      <c r="C32" s="16">
        <v>7875</v>
      </c>
      <c r="D32" s="17">
        <v>0</v>
      </c>
      <c r="E32" s="17">
        <v>0</v>
      </c>
      <c r="F32" s="11">
        <f>Hor(C32,D32,HOR_ARRAY,"E")</f>
        <v>662632.85197611549</v>
      </c>
      <c r="G32" s="11">
        <f>Hor(C32,D32,HOR_ARRAY,"N")</f>
        <v>1520712.347047989</v>
      </c>
      <c r="H32" s="11">
        <f>ver(C32,VER_ARRAY)+E32</f>
        <v>78.304941206558823</v>
      </c>
      <c r="I32" s="11">
        <f>Hor(C32,D32,HOR_ARRAY,"W")</f>
        <v>193.16909588715859</v>
      </c>
      <c r="J32" s="12" t="str">
        <f>DegtoDMSStr2(Hor(C32,D32,HOR_ARRAY,"W"))</f>
        <v xml:space="preserve"> 193 - 10 - 8.75</v>
      </c>
      <c r="K32" s="11" t="str">
        <f>HorType(C32,HOR_ARRAY)</f>
        <v>Circular</v>
      </c>
      <c r="L32" s="11" t="str">
        <f>VerType(C32,VER_ARRAY)</f>
        <v>Linear</v>
      </c>
    </row>
    <row r="33" spans="2:12" ht="30" customHeight="1">
      <c r="B33" s="9">
        <v>29</v>
      </c>
      <c r="C33" s="16">
        <v>7900</v>
      </c>
      <c r="D33" s="17">
        <v>0</v>
      </c>
      <c r="E33" s="17">
        <v>0</v>
      </c>
      <c r="F33" s="11">
        <f>Hor(C33,D33,HOR_ARRAY,"E")</f>
        <v>662627.25180389499</v>
      </c>
      <c r="G33" s="11">
        <f>Hor(C33,D33,HOR_ARRAY,"N")</f>
        <v>1520687.9824016853</v>
      </c>
      <c r="H33" s="11">
        <f>ver(C33,VER_ARRAY)+E33</f>
        <v>78.498691218668199</v>
      </c>
      <c r="I33" s="11">
        <f>Hor(C33,D33,HOR_ARRAY,"W")</f>
        <v>192.81690688637664</v>
      </c>
      <c r="J33" s="12" t="str">
        <f>DegtoDMSStr2(Hor(C33,D33,HOR_ARRAY,"W"))</f>
        <v xml:space="preserve"> 192 - 49 - 0.86</v>
      </c>
      <c r="K33" s="11" t="str">
        <f>HorType(C33,HOR_ARRAY)</f>
        <v>Clothoid</v>
      </c>
      <c r="L33" s="11" t="str">
        <f>VerType(C33,VER_ARRAY)</f>
        <v>Linear</v>
      </c>
    </row>
    <row r="34" spans="2:12" ht="30" customHeight="1">
      <c r="B34" s="9">
        <v>30</v>
      </c>
      <c r="C34" s="16">
        <v>7925</v>
      </c>
      <c r="D34" s="17">
        <v>0</v>
      </c>
      <c r="E34" s="17">
        <v>0</v>
      </c>
      <c r="F34" s="11">
        <f>Hor(C34,D34,HOR_ARRAY,"E")</f>
        <v>662621.70699853904</v>
      </c>
      <c r="G34" s="11">
        <f>Hor(C34,D34,HOR_ARRAY,"N")</f>
        <v>1520663.6050528996</v>
      </c>
      <c r="H34" s="11">
        <f>ver(C34,VER_ARRAY)+E34</f>
        <v>78.692441230777575</v>
      </c>
      <c r="I34" s="11">
        <f>Hor(C34,D34,HOR_ARRAY,"W")</f>
        <v>192.81423802211259</v>
      </c>
      <c r="J34" s="12" t="str">
        <f>DegtoDMSStr2(Hor(C34,D34,HOR_ARRAY,"W"))</f>
        <v xml:space="preserve"> 192 - 48 - 51.26</v>
      </c>
      <c r="K34" s="11" t="str">
        <f>HorType(C34,HOR_ARRAY)</f>
        <v>Linear</v>
      </c>
      <c r="L34" s="11" t="str">
        <f>VerType(C34,VER_ARRAY)</f>
        <v>Linear</v>
      </c>
    </row>
    <row r="35" spans="2:12" ht="30" customHeight="1">
      <c r="B35" s="9">
        <v>31</v>
      </c>
      <c r="C35" s="16">
        <v>7950</v>
      </c>
      <c r="D35" s="17">
        <v>0</v>
      </c>
      <c r="E35" s="17">
        <v>0</v>
      </c>
      <c r="F35" s="11">
        <f>Hor(C35,D35,HOR_ARRAY,"E")</f>
        <v>662616.1622258625</v>
      </c>
      <c r="G35" s="11">
        <f>Hor(C35,D35,HOR_ARRAY,"N")</f>
        <v>1520639.2276966861</v>
      </c>
      <c r="H35" s="11">
        <f>ver(C35,VER_ARRAY)+E35</f>
        <v>78.863345391503714</v>
      </c>
      <c r="I35" s="11">
        <f>Hor(C35,D35,HOR_ARRAY,"W")</f>
        <v>192.81423802211259</v>
      </c>
      <c r="J35" s="12" t="str">
        <f>DegtoDMSStr2(Hor(C35,D35,HOR_ARRAY,"W"))</f>
        <v xml:space="preserve"> 192 - 48 - 51.26</v>
      </c>
      <c r="K35" s="11" t="str">
        <f>HorType(C35,HOR_ARRAY)</f>
        <v>Linear</v>
      </c>
      <c r="L35" s="11" t="str">
        <f>VerType(C35,VER_ARRAY)</f>
        <v>Parabola</v>
      </c>
    </row>
    <row r="36" spans="2:12" ht="30" customHeight="1">
      <c r="B36" s="9">
        <v>32</v>
      </c>
      <c r="C36" s="16">
        <v>7975</v>
      </c>
      <c r="D36" s="17">
        <v>0</v>
      </c>
      <c r="E36" s="17">
        <v>0</v>
      </c>
      <c r="F36" s="11">
        <f>Hor(C36,D36,HOR_ARRAY,"E")</f>
        <v>662610.51053389767</v>
      </c>
      <c r="G36" s="11">
        <f>Hor(C36,D36,HOR_ARRAY,"N")</f>
        <v>1520614.8754748716</v>
      </c>
      <c r="H36" s="11">
        <f>ver(C36,VER_ARRAY)+E36</f>
        <v>78.966268165793537</v>
      </c>
      <c r="I36" s="11">
        <f>Hor(C36,D36,HOR_ARRAY,"W")</f>
        <v>194.19607407452364</v>
      </c>
      <c r="J36" s="12" t="str">
        <f>DegtoDMSStr2(Hor(C36,D36,HOR_ARRAY,"W"))</f>
        <v xml:space="preserve"> 194 - 11 - 45.87</v>
      </c>
      <c r="K36" s="11" t="str">
        <f>HorType(C36,HOR_ARRAY)</f>
        <v>Clothoid</v>
      </c>
      <c r="L36" s="11" t="str">
        <f>VerType(C36,VER_ARRAY)</f>
        <v>Parabola</v>
      </c>
    </row>
    <row r="37" spans="2:12" ht="30" customHeight="1">
      <c r="B37" s="9">
        <v>33</v>
      </c>
      <c r="C37" s="16">
        <v>8000</v>
      </c>
      <c r="D37" s="17">
        <v>0</v>
      </c>
      <c r="E37" s="17">
        <v>0</v>
      </c>
      <c r="F37" s="11">
        <f>Hor(C37,D37,HOR_ARRAY,"E")</f>
        <v>662603.04032851022</v>
      </c>
      <c r="G37" s="11">
        <f>Hor(C37,D37,HOR_ARRAY,"N")</f>
        <v>1520591.0322088234</v>
      </c>
      <c r="H37" s="11">
        <f>ver(C37,VER_ARRAY)+E37</f>
        <v>79</v>
      </c>
      <c r="I37" s="11">
        <f>Hor(C37,D37,HOR_ARRAY,"W")</f>
        <v>200.71911744254405</v>
      </c>
      <c r="J37" s="12" t="str">
        <f>DegtoDMSStr2(Hor(C37,D37,HOR_ARRAY,"W"))</f>
        <v xml:space="preserve"> 200 - 43 - 8.82</v>
      </c>
      <c r="K37" s="11" t="str">
        <f>HorType(C37,HOR_ARRAY)</f>
        <v>Circular</v>
      </c>
      <c r="L37" s="11" t="str">
        <f>VerType(C37,VER_ARRAY)</f>
        <v>Linear</v>
      </c>
    </row>
    <row r="38" spans="2:12" ht="30" customHeight="1">
      <c r="B38" s="9">
        <v>34</v>
      </c>
      <c r="C38" s="16">
        <v>8025</v>
      </c>
      <c r="D38" s="17">
        <v>0</v>
      </c>
      <c r="E38" s="17">
        <v>0</v>
      </c>
      <c r="F38" s="11">
        <f>Hor(C38,D38,HOR_ARRAY,"E")</f>
        <v>662593.41139419249</v>
      </c>
      <c r="G38" s="11">
        <f>Hor(C38,D38,HOR_ARRAY,"N")</f>
        <v>1520567.9633099094</v>
      </c>
      <c r="H38" s="11">
        <f>ver(C38,VER_ARRAY)+E38</f>
        <v>79</v>
      </c>
      <c r="I38" s="11">
        <f>Hor(C38,D38,HOR_ARRAY,"W")</f>
        <v>203.05476643135125</v>
      </c>
      <c r="J38" s="12" t="str">
        <f>DegtoDMSStr2(Hor(C38,D38,HOR_ARRAY,"W"))</f>
        <v xml:space="preserve"> 203 - 3 - 17.16</v>
      </c>
      <c r="K38" s="11" t="str">
        <f>HorType(C38,HOR_ARRAY)</f>
        <v>Clothoid</v>
      </c>
      <c r="L38" s="11" t="str">
        <f>VerType(C38,VER_ARRAY)</f>
        <v>Linear</v>
      </c>
    </row>
    <row r="39" spans="2:12" ht="30" customHeight="1">
      <c r="B39" s="9">
        <v>35</v>
      </c>
      <c r="C39" s="16">
        <v>8050</v>
      </c>
      <c r="D39" s="17">
        <v>0</v>
      </c>
      <c r="E39" s="17">
        <v>0</v>
      </c>
      <c r="F39" s="11">
        <f>Hor(C39,D39,HOR_ARRAY,"E")</f>
        <v>662584.62115632521</v>
      </c>
      <c r="G39" s="11">
        <f>Hor(C39,D39,HOR_ARRAY,"N")</f>
        <v>1520544.5716125965</v>
      </c>
      <c r="H39" s="11">
        <f>ver(C39,VER_ARRAY)+E39</f>
        <v>79</v>
      </c>
      <c r="I39" s="11">
        <f>Hor(C39,D39,HOR_ARRAY,"W")</f>
        <v>197.42739593884102</v>
      </c>
      <c r="J39" s="12" t="str">
        <f>DegtoDMSStr2(Hor(C39,D39,HOR_ARRAY,"W"))</f>
        <v xml:space="preserve"> 197 - 25 - 38.63</v>
      </c>
      <c r="K39" s="11" t="str">
        <f>HorType(C39,HOR_ARRAY)</f>
        <v>Circular</v>
      </c>
      <c r="L39" s="11" t="str">
        <f>VerType(C39,VER_ARRAY)</f>
        <v>Linear</v>
      </c>
    </row>
    <row r="40" spans="2:12" ht="30" customHeight="1">
      <c r="B40" s="9">
        <v>36</v>
      </c>
      <c r="C40" s="16">
        <v>8075</v>
      </c>
      <c r="D40" s="17">
        <v>0</v>
      </c>
      <c r="E40" s="17">
        <v>0</v>
      </c>
      <c r="F40" s="11">
        <f>Hor(C40,D40,HOR_ARRAY,"E")</f>
        <v>662578.20966520393</v>
      </c>
      <c r="G40" s="11">
        <f>Hor(C40,D40,HOR_ARRAY,"N")</f>
        <v>1520520.4131029285</v>
      </c>
      <c r="H40" s="11">
        <f>ver(C40,VER_ARRAY)+E40</f>
        <v>79</v>
      </c>
      <c r="I40" s="11">
        <f>Hor(C40,D40,HOR_ARRAY,"W")</f>
        <v>193.6466376681802</v>
      </c>
      <c r="J40" s="12" t="str">
        <f>DegtoDMSStr2(Hor(C40,D40,HOR_ARRAY,"W"))</f>
        <v xml:space="preserve"> 193 - 38 - 47.9</v>
      </c>
      <c r="K40" s="11" t="str">
        <f>HorType(C40,HOR_ARRAY)</f>
        <v>Linear</v>
      </c>
      <c r="L40" s="11" t="str">
        <f>VerType(C40,VER_ARRAY)</f>
        <v>Linear</v>
      </c>
    </row>
    <row r="41" spans="2:12" ht="30" customHeight="1">
      <c r="B41" s="9">
        <v>37</v>
      </c>
      <c r="C41" s="16">
        <v>8100</v>
      </c>
      <c r="D41" s="17">
        <v>0</v>
      </c>
      <c r="E41" s="17">
        <v>0</v>
      </c>
      <c r="F41" s="11">
        <f>Hor(C41,D41,HOR_ARRAY,"E")</f>
        <v>662572.31133309961</v>
      </c>
      <c r="G41" s="11">
        <f>Hor(C41,D41,HOR_ARRAY,"N")</f>
        <v>1520496.1188715477</v>
      </c>
      <c r="H41" s="11">
        <f>ver(C41,VER_ARRAY)+E41</f>
        <v>79</v>
      </c>
      <c r="I41" s="11">
        <f>Hor(C41,D41,HOR_ARRAY,"W")</f>
        <v>193.6466376681802</v>
      </c>
      <c r="J41" s="12" t="str">
        <f>DegtoDMSStr2(Hor(C41,D41,HOR_ARRAY,"W"))</f>
        <v xml:space="preserve"> 193 - 38 - 47.9</v>
      </c>
      <c r="K41" s="11" t="str">
        <f>HorType(C41,HOR_ARRAY)</f>
        <v>Linear</v>
      </c>
      <c r="L41" s="11" t="str">
        <f>VerType(C41,VER_ARRAY)</f>
        <v>Linear</v>
      </c>
    </row>
    <row r="42" spans="2:12" ht="30" customHeight="1">
      <c r="B42" s="9">
        <v>38</v>
      </c>
      <c r="C42" s="16">
        <v>8125</v>
      </c>
      <c r="D42" s="17">
        <v>0</v>
      </c>
      <c r="E42" s="17">
        <v>0</v>
      </c>
      <c r="F42" s="11">
        <f>Hor(C42,D42,HOR_ARRAY,"E")</f>
        <v>662566.41300099541</v>
      </c>
      <c r="G42" s="11">
        <f>Hor(C42,D42,HOR_ARRAY,"N")</f>
        <v>1520471.8246401667</v>
      </c>
      <c r="H42" s="11">
        <f>ver(C42,VER_ARRAY)+E42</f>
        <v>79</v>
      </c>
      <c r="I42" s="11">
        <f>Hor(C42,D42,HOR_ARRAY,"W")</f>
        <v>193.6466376681802</v>
      </c>
      <c r="J42" s="12" t="str">
        <f>DegtoDMSStr2(Hor(C42,D42,HOR_ARRAY,"W"))</f>
        <v xml:space="preserve"> 193 - 38 - 47.9</v>
      </c>
      <c r="K42" s="11" t="str">
        <f>HorType(C42,HOR_ARRAY)</f>
        <v>Linear</v>
      </c>
      <c r="L42" s="11" t="str">
        <f>VerType(C42,VER_ARRAY)</f>
        <v>Linear</v>
      </c>
    </row>
    <row r="43" spans="2:12" ht="30" customHeight="1">
      <c r="B43" s="9">
        <v>39</v>
      </c>
      <c r="C43" s="16">
        <v>8150</v>
      </c>
      <c r="D43" s="17">
        <v>0</v>
      </c>
      <c r="E43" s="17">
        <v>0</v>
      </c>
      <c r="F43" s="11">
        <f>Hor(C43,D43,HOR_ARRAY,"E")</f>
        <v>662560.51466889121</v>
      </c>
      <c r="G43" s="11">
        <f>Hor(C43,D43,HOR_ARRAY,"N")</f>
        <v>1520447.5304087859</v>
      </c>
      <c r="H43" s="11">
        <f>ver(C43,VER_ARRAY)+E43</f>
        <v>79</v>
      </c>
      <c r="I43" s="11">
        <f>Hor(C43,D43,HOR_ARRAY,"W")</f>
        <v>193.6466376681802</v>
      </c>
      <c r="J43" s="12" t="str">
        <f>DegtoDMSStr2(Hor(C43,D43,HOR_ARRAY,"W"))</f>
        <v xml:space="preserve"> 193 - 38 - 47.9</v>
      </c>
      <c r="K43" s="11" t="str">
        <f>HorType(C43,HOR_ARRAY)</f>
        <v>Linear</v>
      </c>
      <c r="L43" s="11" t="str">
        <f>VerType(C43,VER_ARRAY)</f>
        <v>Linear</v>
      </c>
    </row>
    <row r="44" spans="2:12" ht="30" customHeight="1">
      <c r="B44" s="9">
        <v>40</v>
      </c>
      <c r="C44" s="16">
        <v>8175</v>
      </c>
      <c r="D44" s="17">
        <v>0</v>
      </c>
      <c r="E44" s="17">
        <v>0</v>
      </c>
      <c r="F44" s="11">
        <f>Hor(C44,D44,HOR_ARRAY,"E")</f>
        <v>662554.616336787</v>
      </c>
      <c r="G44" s="11">
        <f>Hor(C44,D44,HOR_ARRAY,"N")</f>
        <v>1520423.2361774051</v>
      </c>
      <c r="H44" s="11">
        <f>ver(C44,VER_ARRAY)+E44</f>
        <v>79</v>
      </c>
      <c r="I44" s="11">
        <f>Hor(C44,D44,HOR_ARRAY,"W")</f>
        <v>193.6466376681802</v>
      </c>
      <c r="J44" s="12" t="str">
        <f>DegtoDMSStr2(Hor(C44,D44,HOR_ARRAY,"W"))</f>
        <v xml:space="preserve"> 193 - 38 - 47.9</v>
      </c>
      <c r="K44" s="11" t="str">
        <f>HorType(C44,HOR_ARRAY)</f>
        <v>Linear</v>
      </c>
      <c r="L44" s="11" t="str">
        <f>VerType(C44,VER_ARRAY)</f>
        <v>Linear</v>
      </c>
    </row>
    <row r="45" spans="2:12" ht="30" customHeight="1">
      <c r="B45" s="9">
        <v>41</v>
      </c>
      <c r="C45" s="16">
        <v>8200</v>
      </c>
      <c r="D45" s="17">
        <v>0</v>
      </c>
      <c r="E45" s="17">
        <v>0</v>
      </c>
      <c r="F45" s="11">
        <f>Hor(C45,D45,HOR_ARRAY,"E")</f>
        <v>662548.7180046828</v>
      </c>
      <c r="G45" s="11">
        <f>Hor(C45,D45,HOR_ARRAY,"N")</f>
        <v>1520398.9419460241</v>
      </c>
      <c r="H45" s="11">
        <f>ver(C45,VER_ARRAY)+E45</f>
        <v>79</v>
      </c>
      <c r="I45" s="11">
        <f>Hor(C45,D45,HOR_ARRAY,"W")</f>
        <v>193.6466376681802</v>
      </c>
      <c r="J45" s="12" t="str">
        <f>DegtoDMSStr2(Hor(C45,D45,HOR_ARRAY,"W"))</f>
        <v xml:space="preserve"> 193 - 38 - 47.9</v>
      </c>
      <c r="K45" s="11" t="str">
        <f>HorType(C45,HOR_ARRAY)</f>
        <v>Linear</v>
      </c>
      <c r="L45" s="11" t="str">
        <f>VerType(C45,VER_ARRAY)</f>
        <v>Linear</v>
      </c>
    </row>
    <row r="46" spans="2:12" ht="30" customHeight="1">
      <c r="B46" s="9">
        <v>42</v>
      </c>
      <c r="C46" s="16">
        <v>8225</v>
      </c>
      <c r="D46" s="17">
        <v>0</v>
      </c>
      <c r="E46" s="17">
        <v>0</v>
      </c>
      <c r="F46" s="11">
        <f>Hor(C46,D46,HOR_ARRAY,"E")</f>
        <v>662542.8196725786</v>
      </c>
      <c r="G46" s="11">
        <f>Hor(C46,D46,HOR_ARRAY,"N")</f>
        <v>1520374.6477146433</v>
      </c>
      <c r="H46" s="11">
        <f>ver(C46,VER_ARRAY)+E46</f>
        <v>79</v>
      </c>
      <c r="I46" s="11">
        <f>Hor(C46,D46,HOR_ARRAY,"W")</f>
        <v>193.6466376681802</v>
      </c>
      <c r="J46" s="12" t="str">
        <f>DegtoDMSStr2(Hor(C46,D46,HOR_ARRAY,"W"))</f>
        <v xml:space="preserve"> 193 - 38 - 47.9</v>
      </c>
      <c r="K46" s="11" t="str">
        <f>HorType(C46,HOR_ARRAY)</f>
        <v>Linear</v>
      </c>
      <c r="L46" s="11" t="str">
        <f>VerType(C46,VER_ARRAY)</f>
        <v>Linear</v>
      </c>
    </row>
    <row r="47" spans="2:12" ht="30" customHeight="1">
      <c r="B47" s="9">
        <v>43</v>
      </c>
      <c r="C47" s="16">
        <v>8250</v>
      </c>
      <c r="D47" s="17">
        <v>0</v>
      </c>
      <c r="E47" s="17">
        <v>0</v>
      </c>
      <c r="F47" s="11">
        <f>Hor(C47,D47,HOR_ARRAY,"E")</f>
        <v>662536.92134047439</v>
      </c>
      <c r="G47" s="11">
        <f>Hor(C47,D47,HOR_ARRAY,"N")</f>
        <v>1520350.3534832622</v>
      </c>
      <c r="H47" s="11">
        <f>ver(C47,VER_ARRAY)+E47</f>
        <v>79</v>
      </c>
      <c r="I47" s="11">
        <f>Hor(C47,D47,HOR_ARRAY,"W")</f>
        <v>193.6466376681802</v>
      </c>
      <c r="J47" s="12" t="str">
        <f>DegtoDMSStr2(Hor(C47,D47,HOR_ARRAY,"W"))</f>
        <v xml:space="preserve"> 193 - 38 - 47.9</v>
      </c>
      <c r="K47" s="11" t="str">
        <f>HorType(C47,HOR_ARRAY)</f>
        <v>Linear</v>
      </c>
      <c r="L47" s="11" t="str">
        <f>VerType(C47,VER_ARRAY)</f>
        <v>Linear</v>
      </c>
    </row>
    <row r="48" spans="2:12" ht="30" customHeight="1">
      <c r="B48" s="9">
        <v>44</v>
      </c>
      <c r="C48" s="16">
        <v>8275</v>
      </c>
      <c r="D48" s="17">
        <v>0</v>
      </c>
      <c r="E48" s="17">
        <v>0</v>
      </c>
      <c r="F48" s="11">
        <f>Hor(C48,D48,HOR_ARRAY,"E")</f>
        <v>662531.02300837019</v>
      </c>
      <c r="G48" s="11">
        <f>Hor(C48,D48,HOR_ARRAY,"N")</f>
        <v>1520326.0592518814</v>
      </c>
      <c r="H48" s="11">
        <f>ver(C48,VER_ARRAY)+E48</f>
        <v>79</v>
      </c>
      <c r="I48" s="11">
        <f>Hor(C48,D48,HOR_ARRAY,"W")</f>
        <v>193.6466376681802</v>
      </c>
      <c r="J48" s="12" t="str">
        <f>DegtoDMSStr2(Hor(C48,D48,HOR_ARRAY,"W"))</f>
        <v xml:space="preserve"> 193 - 38 - 47.9</v>
      </c>
      <c r="K48" s="11" t="str">
        <f>HorType(C48,HOR_ARRAY)</f>
        <v>Linear</v>
      </c>
      <c r="L48" s="11" t="str">
        <f>VerType(C48,VER_ARRAY)</f>
        <v>Linear</v>
      </c>
    </row>
    <row r="49" spans="2:12" ht="30" customHeight="1">
      <c r="B49" s="9">
        <v>45</v>
      </c>
      <c r="C49" s="16">
        <v>8300</v>
      </c>
      <c r="D49" s="17">
        <v>0</v>
      </c>
      <c r="E49" s="17">
        <v>0</v>
      </c>
      <c r="F49" s="11">
        <f>Hor(C49,D49,HOR_ARRAY,"E")</f>
        <v>662525.50358121854</v>
      </c>
      <c r="G49" s="11">
        <f>Hor(C49,D49,HOR_ARRAY,"N")</f>
        <v>1520301.6773231716</v>
      </c>
      <c r="H49" s="11">
        <f>ver(C49,VER_ARRAY)+E49</f>
        <v>79</v>
      </c>
      <c r="I49" s="11">
        <f>Hor(C49,D49,HOR_ARRAY,"W")</f>
        <v>191.80146941661462</v>
      </c>
      <c r="J49" s="12" t="str">
        <f>DegtoDMSStr2(Hor(C49,D49,HOR_ARRAY,"W"))</f>
        <v xml:space="preserve"> 191 - 48 - 5.29</v>
      </c>
      <c r="K49" s="11" t="str">
        <f>HorType(C49,HOR_ARRAY)</f>
        <v>Circular</v>
      </c>
      <c r="L49" s="11" t="str">
        <f>VerType(C49,VER_ARRAY)</f>
        <v>Linear</v>
      </c>
    </row>
    <row r="50" spans="2:12" ht="30" customHeight="1">
      <c r="B50" s="9">
        <v>46</v>
      </c>
      <c r="C50" s="16">
        <v>8325</v>
      </c>
      <c r="D50" s="17">
        <v>0</v>
      </c>
      <c r="E50" s="17">
        <v>0</v>
      </c>
      <c r="F50" s="11">
        <f>Hor(C50,D50,HOR_ARRAY,"E")</f>
        <v>662520.73094935459</v>
      </c>
      <c r="G50" s="11">
        <f>Hor(C50,D50,HOR_ARRAY,"N")</f>
        <v>1520277.1376545965</v>
      </c>
      <c r="H50" s="11">
        <f>ver(C50,VER_ARRAY)+E50</f>
        <v>79</v>
      </c>
      <c r="I50" s="11">
        <f>Hor(C50,D50,HOR_ARRAY,"W")</f>
        <v>190.67172268622906</v>
      </c>
      <c r="J50" s="12" t="str">
        <f>DegtoDMSStr2(Hor(C50,D50,HOR_ARRAY,"W"))</f>
        <v xml:space="preserve"> 190 - 40 - 18.2</v>
      </c>
      <c r="K50" s="11" t="str">
        <f>HorType(C50,HOR_ARRAY)</f>
        <v>Linear</v>
      </c>
      <c r="L50" s="11" t="str">
        <f>VerType(C50,VER_ARRAY)</f>
        <v>Linear</v>
      </c>
    </row>
    <row r="51" spans="2:12" ht="30" customHeight="1">
      <c r="B51" s="9">
        <v>47</v>
      </c>
      <c r="C51" s="16">
        <v>8350</v>
      </c>
      <c r="D51" s="17">
        <v>0</v>
      </c>
      <c r="E51" s="17">
        <v>0</v>
      </c>
      <c r="F51" s="11">
        <f>Hor(C51,D51,HOR_ARRAY,"E")</f>
        <v>662516.10140603676</v>
      </c>
      <c r="G51" s="11">
        <f>Hor(C51,D51,HOR_ARRAY,"N")</f>
        <v>1520252.5700472922</v>
      </c>
      <c r="H51" s="11">
        <f>ver(C51,VER_ARRAY)+E51</f>
        <v>79</v>
      </c>
      <c r="I51" s="11">
        <f>Hor(C51,D51,HOR_ARRAY,"W")</f>
        <v>190.67172268622906</v>
      </c>
      <c r="J51" s="12" t="str">
        <f>DegtoDMSStr2(Hor(C51,D51,HOR_ARRAY,"W"))</f>
        <v xml:space="preserve"> 190 - 40 - 18.2</v>
      </c>
      <c r="K51" s="11" t="str">
        <f>HorType(C51,HOR_ARRAY)</f>
        <v>Linear</v>
      </c>
      <c r="L51" s="11" t="str">
        <f>VerType(C51,VER_ARRAY)</f>
        <v>Linear</v>
      </c>
    </row>
    <row r="52" spans="2:12" ht="30" customHeight="1">
      <c r="B52" s="9">
        <v>48</v>
      </c>
      <c r="C52" s="16">
        <v>8375</v>
      </c>
      <c r="D52" s="17">
        <v>0</v>
      </c>
      <c r="E52" s="17">
        <v>0</v>
      </c>
      <c r="F52" s="11">
        <f>Hor(C52,D52,HOR_ARRAY,"E")</f>
        <v>662511.47027988802</v>
      </c>
      <c r="G52" s="11">
        <f>Hor(C52,D52,HOR_ARRAY,"N")</f>
        <v>1520228.002738741</v>
      </c>
      <c r="H52" s="11">
        <f>ver(C52,VER_ARRAY)+E52</f>
        <v>78.995703927651761</v>
      </c>
      <c r="I52" s="11">
        <f>Hor(C52,D52,HOR_ARRAY,"W")</f>
        <v>190.72794230683985</v>
      </c>
      <c r="J52" s="12" t="str">
        <f>DegtoDMSStr2(Hor(C52,D52,HOR_ARRAY,"W"))</f>
        <v xml:space="preserve"> 190 - 43 - 40.59</v>
      </c>
      <c r="K52" s="11" t="str">
        <f>HorType(C52,HOR_ARRAY)</f>
        <v>Clothoid</v>
      </c>
      <c r="L52" s="11" t="str">
        <f>VerType(C52,VER_ARRAY)</f>
        <v>Parabola</v>
      </c>
    </row>
    <row r="53" spans="2:12" ht="30" customHeight="1">
      <c r="B53" s="9">
        <v>49</v>
      </c>
      <c r="C53" s="16">
        <v>8400</v>
      </c>
      <c r="D53" s="17">
        <v>0</v>
      </c>
      <c r="E53" s="17">
        <v>0</v>
      </c>
      <c r="F53" s="11">
        <f>Hor(C53,D53,HOR_ARRAY,"E")</f>
        <v>662506.50170675083</v>
      </c>
      <c r="G53" s="11">
        <f>Hor(C53,D53,HOR_ARRAY,"N")</f>
        <v>1520203.5026003879</v>
      </c>
      <c r="H53" s="11">
        <f>ver(C53,VER_ARRAY)+E53</f>
        <v>78.842975720994374</v>
      </c>
      <c r="I53" s="11">
        <f>Hor(C53,D53,HOR_ARRAY,"W")</f>
        <v>192.51377916068355</v>
      </c>
      <c r="J53" s="12" t="str">
        <f>DegtoDMSStr2(Hor(C53,D53,HOR_ARRAY,"W"))</f>
        <v xml:space="preserve"> 192 - 30 - 49.6</v>
      </c>
      <c r="K53" s="11" t="str">
        <f>HorType(C53,HOR_ARRAY)</f>
        <v>Circular</v>
      </c>
      <c r="L53" s="11" t="str">
        <f>VerType(C53,VER_ARRAY)</f>
        <v>Parabola</v>
      </c>
    </row>
    <row r="54" spans="2:12" ht="30" customHeight="1">
      <c r="B54" s="9">
        <v>50</v>
      </c>
      <c r="C54" s="16">
        <v>8425</v>
      </c>
      <c r="D54" s="17">
        <v>0</v>
      </c>
      <c r="E54" s="17">
        <v>0</v>
      </c>
      <c r="F54" s="11">
        <f>Hor(C54,D54,HOR_ARRAY,"E")</f>
        <v>662500.60298973054</v>
      </c>
      <c r="G54" s="11">
        <f>Hor(C54,D54,HOR_ARRAY,"N")</f>
        <v>1520179.2100588856</v>
      </c>
      <c r="H54" s="11">
        <f>ver(C54,VER_ARRAY)+E54</f>
        <v>78.471498113520326</v>
      </c>
      <c r="I54" s="11">
        <f>Hor(C54,D54,HOR_ARRAY,"W")</f>
        <v>194.64785385376842</v>
      </c>
      <c r="J54" s="12" t="str">
        <f>DegtoDMSStr2(Hor(C54,D54,HOR_ARRAY,"W"))</f>
        <v xml:space="preserve"> 194 - 38 - 52.27</v>
      </c>
      <c r="K54" s="11" t="str">
        <f>HorType(C54,HOR_ARRAY)</f>
        <v>Clothoid</v>
      </c>
      <c r="L54" s="11" t="str">
        <f>VerType(C54,VER_ARRAY)</f>
        <v>Parabola</v>
      </c>
    </row>
    <row r="55" spans="2:12" ht="30" customHeight="1">
      <c r="B55" s="9">
        <v>51</v>
      </c>
      <c r="C55" s="16">
        <v>8450</v>
      </c>
      <c r="D55" s="17">
        <v>0</v>
      </c>
      <c r="E55" s="17">
        <v>0</v>
      </c>
      <c r="F55" s="11">
        <f>Hor(C55,D55,HOR_ARRAY,"E")</f>
        <v>662494.17592643877</v>
      </c>
      <c r="G55" s="11">
        <f>Hor(C55,D55,HOR_ARRAY,"N")</f>
        <v>1520155.0503455023</v>
      </c>
      <c r="H55" s="11">
        <f>ver(C55,VER_ARRAY)+E55</f>
        <v>77.881271105229615</v>
      </c>
      <c r="I55" s="11">
        <f>Hor(C55,D55,HOR_ARRAY,"W")</f>
        <v>194.94108256480718</v>
      </c>
      <c r="J55" s="12" t="str">
        <f>DegtoDMSStr2(Hor(C55,D55,HOR_ARRAY,"W"))</f>
        <v xml:space="preserve"> 194 - 56 - 27.9</v>
      </c>
      <c r="K55" s="11" t="str">
        <f>HorType(C55,HOR_ARRAY)</f>
        <v>Linear</v>
      </c>
      <c r="L55" s="11" t="str">
        <f>VerType(C55,VER_ARRAY)</f>
        <v>Parabola</v>
      </c>
    </row>
    <row r="56" spans="2:12" ht="30" customHeight="1">
      <c r="B56" s="9">
        <v>52</v>
      </c>
      <c r="C56" s="16">
        <v>8475</v>
      </c>
      <c r="D56" s="17">
        <v>0</v>
      </c>
      <c r="E56" s="17">
        <v>0</v>
      </c>
      <c r="F56" s="11">
        <f>Hor(C56,D56,HOR_ARRAY,"E")</f>
        <v>662487.73028305708</v>
      </c>
      <c r="G56" s="11">
        <f>Hor(C56,D56,HOR_ARRAY,"N")</f>
        <v>1520130.8955596122</v>
      </c>
      <c r="H56" s="11">
        <f>ver(C56,VER_ARRAY)+E56</f>
        <v>77.076590768470481</v>
      </c>
      <c r="I56" s="11">
        <f>Hor(C56,D56,HOR_ARRAY,"W")</f>
        <v>194.94108256480718</v>
      </c>
      <c r="J56" s="12" t="str">
        <f>DegtoDMSStr2(Hor(C56,D56,HOR_ARRAY,"W"))</f>
        <v xml:space="preserve"> 194 - 56 - 27.9</v>
      </c>
      <c r="K56" s="11" t="str">
        <f>HorType(C56,HOR_ARRAY)</f>
        <v>Linear</v>
      </c>
      <c r="L56" s="11" t="str">
        <f>VerType(C56,VER_ARRAY)</f>
        <v>Linear</v>
      </c>
    </row>
    <row r="57" spans="2:12" ht="30" customHeight="1">
      <c r="B57" s="9">
        <v>53</v>
      </c>
      <c r="C57" s="16">
        <v>8500</v>
      </c>
      <c r="D57" s="17">
        <v>0</v>
      </c>
      <c r="E57" s="17">
        <v>0</v>
      </c>
      <c r="F57" s="11">
        <f>Hor(C57,D57,HOR_ARRAY,"E")</f>
        <v>662481.28463967529</v>
      </c>
      <c r="G57" s="11">
        <f>Hor(C57,D57,HOR_ARRAY,"N")</f>
        <v>1520106.7407737221</v>
      </c>
      <c r="H57" s="11">
        <f>ver(C57,VER_ARRAY)+E57</f>
        <v>76.201593165203832</v>
      </c>
      <c r="I57" s="11">
        <f>Hor(C57,D57,HOR_ARRAY,"W")</f>
        <v>194.94108256480718</v>
      </c>
      <c r="J57" s="12" t="str">
        <f>DegtoDMSStr2(Hor(C57,D57,HOR_ARRAY,"W"))</f>
        <v xml:space="preserve"> 194 - 56 - 27.9</v>
      </c>
      <c r="K57" s="11" t="str">
        <f>HorType(C57,HOR_ARRAY)</f>
        <v>Linear</v>
      </c>
      <c r="L57" s="11" t="str">
        <f>VerType(C57,VER_ARRAY)</f>
        <v>Linear</v>
      </c>
    </row>
    <row r="58" spans="2:12" ht="30" customHeight="1">
      <c r="B58" s="9">
        <v>54</v>
      </c>
      <c r="C58" s="16">
        <v>8525</v>
      </c>
      <c r="D58" s="17">
        <v>0</v>
      </c>
      <c r="E58" s="17">
        <v>0</v>
      </c>
      <c r="F58" s="11">
        <f>Hor(C58,D58,HOR_ARRAY,"E")</f>
        <v>662474.78563097119</v>
      </c>
      <c r="G58" s="11">
        <f>Hor(C58,D58,HOR_ARRAY,"N")</f>
        <v>1520082.6004066246</v>
      </c>
      <c r="H58" s="11">
        <f>ver(C58,VER_ARRAY)+E58</f>
        <v>75.326595561937182</v>
      </c>
      <c r="I58" s="11">
        <f>Hor(C58,D58,HOR_ARRAY,"W")</f>
        <v>195.5365599695966</v>
      </c>
      <c r="J58" s="12" t="str">
        <f>DegtoDMSStr2(Hor(C58,D58,HOR_ARRAY,"W"))</f>
        <v xml:space="preserve"> 195 - 32 - 11.62</v>
      </c>
      <c r="K58" s="11" t="str">
        <f>HorType(C58,HOR_ARRAY)</f>
        <v>Clothoid</v>
      </c>
      <c r="L58" s="11" t="str">
        <f>VerType(C58,VER_ARRAY)</f>
        <v>Linear</v>
      </c>
    </row>
    <row r="59" spans="2:12" ht="30" customHeight="1">
      <c r="B59" s="9">
        <v>55</v>
      </c>
      <c r="C59" s="16">
        <v>8550</v>
      </c>
      <c r="D59" s="17">
        <v>0</v>
      </c>
      <c r="E59" s="17">
        <v>0</v>
      </c>
      <c r="F59" s="11">
        <f>Hor(C59,D59,HOR_ARRAY,"E")</f>
        <v>662467.49544808536</v>
      </c>
      <c r="G59" s="11">
        <f>Hor(C59,D59,HOR_ARRAY,"N")</f>
        <v>1520058.6906737071</v>
      </c>
      <c r="H59" s="11">
        <f>ver(C59,VER_ARRAY)+E59</f>
        <v>74.451597958670547</v>
      </c>
      <c r="I59" s="11">
        <f>Hor(C59,D59,HOR_ARRAY,"W")</f>
        <v>198.86405495416949</v>
      </c>
      <c r="J59" s="12" t="str">
        <f>DegtoDMSStr2(Hor(C59,D59,HOR_ARRAY,"W"))</f>
        <v xml:space="preserve"> 198 - 51 - 50.6</v>
      </c>
      <c r="K59" s="11" t="str">
        <f>HorType(C59,HOR_ARRAY)</f>
        <v>Clothoid</v>
      </c>
      <c r="L59" s="11" t="str">
        <f>VerType(C59,VER_ARRAY)</f>
        <v>Linear</v>
      </c>
    </row>
    <row r="60" spans="2:12" ht="30" customHeight="1">
      <c r="B60" s="9">
        <v>56</v>
      </c>
      <c r="C60" s="16">
        <v>8575</v>
      </c>
      <c r="D60" s="17">
        <v>0</v>
      </c>
      <c r="E60" s="17">
        <v>0</v>
      </c>
      <c r="F60" s="11">
        <f>Hor(C60,D60,HOR_ARRAY,"E")</f>
        <v>662458.28842512495</v>
      </c>
      <c r="G60" s="11">
        <f>Hor(C60,D60,HOR_ARRAY,"N")</f>
        <v>1520035.4590317106</v>
      </c>
      <c r="H60" s="11">
        <f>ver(C60,VER_ARRAY)+E60</f>
        <v>73.576600355403897</v>
      </c>
      <c r="I60" s="11">
        <f>Hor(C60,D60,HOR_ARRAY,"W")</f>
        <v>204.51932635108017</v>
      </c>
      <c r="J60" s="12" t="str">
        <f>DegtoDMSStr2(Hor(C60,D60,HOR_ARRAY,"W"))</f>
        <v xml:space="preserve"> 204 - 31 - 9.57</v>
      </c>
      <c r="K60" s="11" t="str">
        <f>HorType(C60,HOR_ARRAY)</f>
        <v>Circular</v>
      </c>
      <c r="L60" s="11" t="str">
        <f>VerType(C60,VER_ARRAY)</f>
        <v>Linear</v>
      </c>
    </row>
    <row r="61" spans="2:12" ht="30" customHeight="1">
      <c r="B61" s="9">
        <v>57</v>
      </c>
      <c r="C61" s="16">
        <v>8600</v>
      </c>
      <c r="D61" s="17">
        <v>0</v>
      </c>
      <c r="E61" s="17">
        <v>0</v>
      </c>
      <c r="F61" s="11">
        <f>Hor(C61,D61,HOR_ARRAY,"E")</f>
        <v>662446.80533697584</v>
      </c>
      <c r="G61" s="11">
        <f>Hor(C61,D61,HOR_ARRAY,"N")</f>
        <v>1520013.2630080611</v>
      </c>
      <c r="H61" s="11">
        <f>ver(C61,VER_ARRAY)+E61</f>
        <v>72.701602752137248</v>
      </c>
      <c r="I61" s="11">
        <f>Hor(C61,D61,HOR_ARRAY,"W")</f>
        <v>209.89924831279939</v>
      </c>
      <c r="J61" s="12" t="str">
        <f>DegtoDMSStr2(Hor(C61,D61,HOR_ARRAY,"W"))</f>
        <v xml:space="preserve"> 209 - 53 - 57.29</v>
      </c>
      <c r="K61" s="11" t="str">
        <f>HorType(C61,HOR_ARRAY)</f>
        <v>Clothoid</v>
      </c>
      <c r="L61" s="11" t="str">
        <f>VerType(C61,VER_ARRAY)</f>
        <v>Linear</v>
      </c>
    </row>
    <row r="62" spans="2:12" ht="30" customHeight="1">
      <c r="B62" s="9">
        <v>58</v>
      </c>
      <c r="C62" s="16">
        <v>8625</v>
      </c>
      <c r="D62" s="17">
        <v>0</v>
      </c>
      <c r="E62" s="17">
        <v>0</v>
      </c>
      <c r="F62" s="11">
        <f>Hor(C62,D62,HOR_ARRAY,"E")</f>
        <v>662433.74060677958</v>
      </c>
      <c r="G62" s="11">
        <f>Hor(C62,D62,HOR_ARRAY,"N")</f>
        <v>1519991.9512261152</v>
      </c>
      <c r="H62" s="11">
        <f>ver(C62,VER_ARRAY)+E62</f>
        <v>71.826605148870598</v>
      </c>
      <c r="I62" s="11">
        <f>Hor(C62,D62,HOR_ARRAY,"W")</f>
        <v>212.63249242615078</v>
      </c>
      <c r="J62" s="12" t="str">
        <f>DegtoDMSStr2(Hor(C62,D62,HOR_ARRAY,"W"))</f>
        <v xml:space="preserve"> 212 - 37 - 56.97</v>
      </c>
      <c r="K62" s="11" t="str">
        <f>HorType(C62,HOR_ARRAY)</f>
        <v>Clothoid</v>
      </c>
      <c r="L62" s="11" t="str">
        <f>VerType(C62,VER_ARRAY)</f>
        <v>Linear</v>
      </c>
    </row>
    <row r="63" spans="2:12" ht="30" customHeight="1">
      <c r="B63" s="9">
        <v>59</v>
      </c>
      <c r="C63" s="16">
        <v>8650</v>
      </c>
      <c r="D63" s="17">
        <v>0</v>
      </c>
      <c r="E63" s="17">
        <v>0</v>
      </c>
      <c r="F63" s="11">
        <f>Hor(C63,D63,HOR_ARRAY,"E")</f>
        <v>662420.17263188353</v>
      </c>
      <c r="G63" s="11">
        <f>Hor(C63,D63,HOR_ARRAY,"N")</f>
        <v>1519970.9533908917</v>
      </c>
      <c r="H63" s="11">
        <f>ver(C63,VER_ARRAY)+E63</f>
        <v>70.951607545603963</v>
      </c>
      <c r="I63" s="11">
        <f>Hor(C63,D63,HOR_ARRAY,"W")</f>
        <v>212.90906935073286</v>
      </c>
      <c r="J63" s="12" t="str">
        <f>DegtoDMSStr2(Hor(C63,D63,HOR_ARRAY,"W"))</f>
        <v xml:space="preserve"> 212 - 54 - 32.65</v>
      </c>
      <c r="K63" s="11" t="str">
        <f>HorType(C63,HOR_ARRAY)</f>
        <v>Linear</v>
      </c>
      <c r="L63" s="11" t="str">
        <f>VerType(C63,VER_ARRAY)</f>
        <v>Linear</v>
      </c>
    </row>
    <row r="64" spans="2:12" ht="30" customHeight="1">
      <c r="B64" s="9">
        <v>60</v>
      </c>
      <c r="C64" s="16">
        <v>8675</v>
      </c>
      <c r="D64" s="17">
        <v>0</v>
      </c>
      <c r="E64" s="17">
        <v>0</v>
      </c>
      <c r="F64" s="11">
        <f>Hor(C64,D64,HOR_ARRAY,"E")</f>
        <v>662406.58994604822</v>
      </c>
      <c r="G64" s="11">
        <f>Hor(C64,D64,HOR_ARRAY,"N")</f>
        <v>1519949.9650454235</v>
      </c>
      <c r="H64" s="11">
        <f>ver(C64,VER_ARRAY)+E64</f>
        <v>70.076609942337313</v>
      </c>
      <c r="I64" s="11">
        <f>Hor(C64,D64,HOR_ARRAY,"W")</f>
        <v>212.90906935073286</v>
      </c>
      <c r="J64" s="12" t="str">
        <f>DegtoDMSStr2(Hor(C64,D64,HOR_ARRAY,"W"))</f>
        <v xml:space="preserve"> 212 - 54 - 32.65</v>
      </c>
      <c r="K64" s="11" t="str">
        <f>HorType(C64,HOR_ARRAY)</f>
        <v>Linear</v>
      </c>
      <c r="L64" s="11" t="str">
        <f>VerType(C64,VER_ARRAY)</f>
        <v>Linear</v>
      </c>
    </row>
    <row r="65" spans="2:12" ht="30" customHeight="1">
      <c r="B65" s="9">
        <v>61</v>
      </c>
      <c r="C65" s="16">
        <v>8700</v>
      </c>
      <c r="D65" s="17">
        <v>0</v>
      </c>
      <c r="E65" s="17">
        <v>0</v>
      </c>
      <c r="F65" s="11">
        <f>Hor(C65,D65,HOR_ARRAY,"E")</f>
        <v>662393.00726021291</v>
      </c>
      <c r="G65" s="11">
        <f>Hor(C65,D65,HOR_ARRAY,"N")</f>
        <v>1519928.9766999551</v>
      </c>
      <c r="H65" s="11">
        <f>ver(C65,VER_ARRAY)+E65</f>
        <v>69.231963757325573</v>
      </c>
      <c r="I65" s="11">
        <f>Hor(C65,D65,HOR_ARRAY,"W")</f>
        <v>212.90906935073286</v>
      </c>
      <c r="J65" s="12" t="str">
        <f>DegtoDMSStr2(Hor(C65,D65,HOR_ARRAY,"W"))</f>
        <v xml:space="preserve"> 212 - 54 - 32.65</v>
      </c>
      <c r="K65" s="11" t="str">
        <f>HorType(C65,HOR_ARRAY)</f>
        <v>Linear</v>
      </c>
      <c r="L65" s="11" t="str">
        <f>VerType(C65,VER_ARRAY)</f>
        <v>Parabola</v>
      </c>
    </row>
    <row r="66" spans="2:12" ht="30" customHeight="1">
      <c r="B66" s="9">
        <v>62</v>
      </c>
      <c r="C66" s="16">
        <v>8725</v>
      </c>
      <c r="D66" s="17">
        <v>0</v>
      </c>
      <c r="E66" s="17">
        <v>0</v>
      </c>
      <c r="F66" s="11">
        <f>Hor(C66,D66,HOR_ARRAY,"E")</f>
        <v>662379.42457437748</v>
      </c>
      <c r="G66" s="11">
        <f>Hor(C66,D66,HOR_ARRAY,"N")</f>
        <v>1519907.9883544866</v>
      </c>
      <c r="H66" s="11">
        <f>ver(C66,VER_ARRAY)+E66</f>
        <v>68.477854497012487</v>
      </c>
      <c r="I66" s="11">
        <f>Hor(C66,D66,HOR_ARRAY,"W")</f>
        <v>212.90906935073286</v>
      </c>
      <c r="J66" s="12" t="str">
        <f>DegtoDMSStr2(Hor(C66,D66,HOR_ARRAY,"W"))</f>
        <v xml:space="preserve"> 212 - 54 - 32.65</v>
      </c>
      <c r="K66" s="11" t="str">
        <f>HorType(C66,HOR_ARRAY)</f>
        <v>Linear</v>
      </c>
      <c r="L66" s="11" t="str">
        <f>VerType(C66,VER_ARRAY)</f>
        <v>Linear</v>
      </c>
    </row>
    <row r="67" spans="2:12" ht="30" customHeight="1">
      <c r="B67" s="9">
        <v>63</v>
      </c>
      <c r="C67" s="16">
        <v>8750</v>
      </c>
      <c r="D67" s="17">
        <v>0</v>
      </c>
      <c r="E67" s="17">
        <v>0</v>
      </c>
      <c r="F67" s="11">
        <f>Hor(C67,D67,HOR_ARRAY,"E")</f>
        <v>662365.84188854217</v>
      </c>
      <c r="G67" s="11">
        <f>Hor(C67,D67,HOR_ARRAY,"N")</f>
        <v>1519887.0000090185</v>
      </c>
      <c r="H67" s="11">
        <f>ver(C67,VER_ARRAY)+E67</f>
        <v>67.735352269198302</v>
      </c>
      <c r="I67" s="11">
        <f>Hor(C67,D67,HOR_ARRAY,"W")</f>
        <v>212.90906935073286</v>
      </c>
      <c r="J67" s="12" t="str">
        <f>DegtoDMSStr2(Hor(C67,D67,HOR_ARRAY,"W"))</f>
        <v xml:space="preserve"> 212 - 54 - 32.65</v>
      </c>
      <c r="K67" s="11" t="str">
        <f>HorType(C67,HOR_ARRAY)</f>
        <v>Linear</v>
      </c>
      <c r="L67" s="11" t="str">
        <f>VerType(C67,VER_ARRAY)</f>
        <v>Linear</v>
      </c>
    </row>
    <row r="68" spans="2:12" ht="30" customHeight="1">
      <c r="B68" s="9">
        <v>64</v>
      </c>
      <c r="C68" s="16">
        <v>8775</v>
      </c>
      <c r="D68" s="17">
        <v>0</v>
      </c>
      <c r="E68" s="17">
        <v>0</v>
      </c>
      <c r="F68" s="11">
        <f>Hor(C68,D68,HOR_ARRAY,"E")</f>
        <v>662352.25920270686</v>
      </c>
      <c r="G68" s="11">
        <f>Hor(C68,D68,HOR_ARRAY,"N")</f>
        <v>1519866.01166355</v>
      </c>
      <c r="H68" s="11">
        <f>ver(C68,VER_ARRAY)+E68</f>
        <v>66.992850041384116</v>
      </c>
      <c r="I68" s="11">
        <f>Hor(C68,D68,HOR_ARRAY,"W")</f>
        <v>212.90906935073286</v>
      </c>
      <c r="J68" s="12" t="str">
        <f>DegtoDMSStr2(Hor(C68,D68,HOR_ARRAY,"W"))</f>
        <v xml:space="preserve"> 212 - 54 - 32.65</v>
      </c>
      <c r="K68" s="11" t="str">
        <f>HorType(C68,HOR_ARRAY)</f>
        <v>Linear</v>
      </c>
      <c r="L68" s="11" t="str">
        <f>VerType(C68,VER_ARRAY)</f>
        <v>Linear</v>
      </c>
    </row>
    <row r="69" spans="2:12" ht="30" customHeight="1">
      <c r="B69" s="9">
        <v>65</v>
      </c>
      <c r="C69" s="16">
        <v>8800</v>
      </c>
      <c r="D69" s="17">
        <v>0</v>
      </c>
      <c r="E69" s="17">
        <v>0</v>
      </c>
      <c r="F69" s="11">
        <f>Hor(C69,D69,HOR_ARRAY,"E")</f>
        <v>662338.67651687155</v>
      </c>
      <c r="G69" s="11">
        <f>Hor(C69,D69,HOR_ARRAY,"N")</f>
        <v>1519845.0233180816</v>
      </c>
      <c r="H69" s="11">
        <f>ver(C69,VER_ARRAY)+E69</f>
        <v>66.250347813569917</v>
      </c>
      <c r="I69" s="11">
        <f>Hor(C69,D69,HOR_ARRAY,"W")</f>
        <v>212.90906935073286</v>
      </c>
      <c r="J69" s="12" t="str">
        <f>DegtoDMSStr2(Hor(C69,D69,HOR_ARRAY,"W"))</f>
        <v xml:space="preserve"> 212 - 54 - 32.65</v>
      </c>
      <c r="K69" s="11" t="str">
        <f>HorType(C69,HOR_ARRAY)</f>
        <v>Linear</v>
      </c>
      <c r="L69" s="11" t="str">
        <f>VerType(C69,VER_ARRAY)</f>
        <v>Linear</v>
      </c>
    </row>
    <row r="70" spans="2:12" ht="30" customHeight="1">
      <c r="B70" s="9">
        <v>66</v>
      </c>
      <c r="C70" s="16">
        <v>8825</v>
      </c>
      <c r="D70" s="17">
        <v>0</v>
      </c>
      <c r="E70" s="17">
        <v>0</v>
      </c>
      <c r="F70" s="11">
        <f>Hor(C70,D70,HOR_ARRAY,"E")</f>
        <v>662325.09383103624</v>
      </c>
      <c r="G70" s="11">
        <f>Hor(C70,D70,HOR_ARRAY,"N")</f>
        <v>1519824.0349726132</v>
      </c>
      <c r="H70" s="11">
        <f>ver(C70,VER_ARRAY)+E70</f>
        <v>65.507845585755732</v>
      </c>
      <c r="I70" s="11">
        <f>Hor(C70,D70,HOR_ARRAY,"W")</f>
        <v>212.90906935073286</v>
      </c>
      <c r="J70" s="12" t="str">
        <f>DegtoDMSStr2(Hor(C70,D70,HOR_ARRAY,"W"))</f>
        <v xml:space="preserve"> 212 - 54 - 32.65</v>
      </c>
      <c r="K70" s="11" t="str">
        <f>HorType(C70,HOR_ARRAY)</f>
        <v>Linear</v>
      </c>
      <c r="L70" s="11" t="str">
        <f>VerType(C70,VER_ARRAY)</f>
        <v>Linear</v>
      </c>
    </row>
    <row r="71" spans="2:12" ht="30" customHeight="1">
      <c r="B71" s="9">
        <v>67</v>
      </c>
      <c r="C71" s="16">
        <v>8850</v>
      </c>
      <c r="D71" s="17">
        <v>0</v>
      </c>
      <c r="E71" s="17">
        <v>0</v>
      </c>
      <c r="F71" s="11">
        <f>Hor(C71,D71,HOR_ARRAY,"E")</f>
        <v>662311.51114520093</v>
      </c>
      <c r="G71" s="11">
        <f>Hor(C71,D71,HOR_ARRAY,"N")</f>
        <v>1519803.046627145</v>
      </c>
      <c r="H71" s="11">
        <f>ver(C71,VER_ARRAY)+E71</f>
        <v>64.765343357941546</v>
      </c>
      <c r="I71" s="11">
        <f>Hor(C71,D71,HOR_ARRAY,"W")</f>
        <v>212.90906935073286</v>
      </c>
      <c r="J71" s="12" t="str">
        <f>DegtoDMSStr2(Hor(C71,D71,HOR_ARRAY,"W"))</f>
        <v xml:space="preserve"> 212 - 54 - 32.65</v>
      </c>
      <c r="K71" s="11" t="str">
        <f>HorType(C71,HOR_ARRAY)</f>
        <v>Linear</v>
      </c>
      <c r="L71" s="11" t="str">
        <f>VerType(C71,VER_ARRAY)</f>
        <v>Linear</v>
      </c>
    </row>
    <row r="72" spans="2:12" ht="30" customHeight="1">
      <c r="B72" s="9">
        <v>68</v>
      </c>
      <c r="C72" s="16">
        <v>8875</v>
      </c>
      <c r="D72" s="17">
        <v>0</v>
      </c>
      <c r="E72" s="17">
        <v>0</v>
      </c>
      <c r="F72" s="11">
        <f>Hor(C72,D72,HOR_ARRAY,"E")</f>
        <v>662297.92845936562</v>
      </c>
      <c r="G72" s="11">
        <f>Hor(C72,D72,HOR_ARRAY,"N")</f>
        <v>1519782.0582816766</v>
      </c>
      <c r="H72" s="11">
        <f>ver(C72,VER_ARRAY)+E72</f>
        <v>64.022841130127347</v>
      </c>
      <c r="I72" s="11">
        <f>Hor(C72,D72,HOR_ARRAY,"W")</f>
        <v>212.90906935073286</v>
      </c>
      <c r="J72" s="12" t="str">
        <f>DegtoDMSStr2(Hor(C72,D72,HOR_ARRAY,"W"))</f>
        <v xml:space="preserve"> 212 - 54 - 32.65</v>
      </c>
      <c r="K72" s="11" t="str">
        <f>HorType(C72,HOR_ARRAY)</f>
        <v>Linear</v>
      </c>
      <c r="L72" s="11" t="str">
        <f>VerType(C72,VER_ARRAY)</f>
        <v>Linear</v>
      </c>
    </row>
    <row r="73" spans="2:12" ht="30" customHeight="1">
      <c r="B73" s="9">
        <v>69</v>
      </c>
      <c r="C73" s="16">
        <v>8900</v>
      </c>
      <c r="D73" s="17">
        <v>0</v>
      </c>
      <c r="E73" s="17">
        <v>0</v>
      </c>
      <c r="F73" s="11">
        <f>Hor(C73,D73,HOR_ARRAY,"E")</f>
        <v>662284.34577353031</v>
      </c>
      <c r="G73" s="11">
        <f>Hor(C73,D73,HOR_ARRAY,"N")</f>
        <v>1519761.0699362082</v>
      </c>
      <c r="H73" s="11">
        <f>ver(C73,VER_ARRAY)+E73</f>
        <v>63.280338902313161</v>
      </c>
      <c r="I73" s="11">
        <f>Hor(C73,D73,HOR_ARRAY,"W")</f>
        <v>212.90906935073286</v>
      </c>
      <c r="J73" s="12" t="str">
        <f>DegtoDMSStr2(Hor(C73,D73,HOR_ARRAY,"W"))</f>
        <v xml:space="preserve"> 212 - 54 - 32.65</v>
      </c>
      <c r="K73" s="11" t="str">
        <f>HorType(C73,HOR_ARRAY)</f>
        <v>Linear</v>
      </c>
      <c r="L73" s="11" t="str">
        <f>VerType(C73,VER_ARRAY)</f>
        <v>Linear</v>
      </c>
    </row>
    <row r="74" spans="2:12" ht="30" customHeight="1">
      <c r="B74" s="9">
        <v>70</v>
      </c>
      <c r="C74" s="16">
        <v>8925</v>
      </c>
      <c r="D74" s="17">
        <v>0</v>
      </c>
      <c r="E74" s="17">
        <v>0</v>
      </c>
      <c r="F74" s="11">
        <f>Hor(C74,D74,HOR_ARRAY,"E")</f>
        <v>662270.763087695</v>
      </c>
      <c r="G74" s="11">
        <f>Hor(C74,D74,HOR_ARRAY,"N")</f>
        <v>1519740.0815907398</v>
      </c>
      <c r="H74" s="11">
        <f>ver(C74,VER_ARRAY)+E74</f>
        <v>62.537836674498969</v>
      </c>
      <c r="I74" s="11">
        <f>Hor(C74,D74,HOR_ARRAY,"W")</f>
        <v>212.90906935073286</v>
      </c>
      <c r="J74" s="12" t="str">
        <f>DegtoDMSStr2(Hor(C74,D74,HOR_ARRAY,"W"))</f>
        <v xml:space="preserve"> 212 - 54 - 32.65</v>
      </c>
      <c r="K74" s="11" t="str">
        <f>HorType(C74,HOR_ARRAY)</f>
        <v>Linear</v>
      </c>
      <c r="L74" s="11" t="str">
        <f>VerType(C74,VER_ARRAY)</f>
        <v>Linear</v>
      </c>
    </row>
    <row r="75" spans="2:12" ht="30" customHeight="1">
      <c r="B75" s="9">
        <v>71</v>
      </c>
      <c r="C75" s="16">
        <v>8950</v>
      </c>
      <c r="D75" s="17">
        <v>0</v>
      </c>
      <c r="E75" s="17">
        <v>0</v>
      </c>
      <c r="F75" s="11">
        <f>Hor(C75,D75,HOR_ARRAY,"E")</f>
        <v>662257.18040185969</v>
      </c>
      <c r="G75" s="11">
        <f>Hor(C75,D75,HOR_ARRAY,"N")</f>
        <v>1519719.0932452716</v>
      </c>
      <c r="H75" s="11">
        <f>ver(C75,VER_ARRAY)+E75</f>
        <v>61.805865714797683</v>
      </c>
      <c r="I75" s="11">
        <f>Hor(C75,D75,HOR_ARRAY,"W")</f>
        <v>212.90906935073286</v>
      </c>
      <c r="J75" s="12" t="str">
        <f>DegtoDMSStr2(Hor(C75,D75,HOR_ARRAY,"W"))</f>
        <v xml:space="preserve"> 212 - 54 - 32.65</v>
      </c>
      <c r="K75" s="11" t="str">
        <f>HorType(C75,HOR_ARRAY)</f>
        <v>Linear</v>
      </c>
      <c r="L75" s="11" t="str">
        <f>VerType(C75,VER_ARRAY)</f>
        <v>Parabola</v>
      </c>
    </row>
    <row r="76" spans="2:12" ht="30" customHeight="1">
      <c r="B76" s="9">
        <v>72</v>
      </c>
      <c r="C76" s="16">
        <v>8975</v>
      </c>
      <c r="D76" s="17">
        <v>0</v>
      </c>
      <c r="E76" s="17">
        <v>0</v>
      </c>
      <c r="F76" s="11">
        <f>Hor(C76,D76,HOR_ARRAY,"E")</f>
        <v>662243.60153312469</v>
      </c>
      <c r="G76" s="11">
        <f>Hor(C76,D76,HOR_ARRAY,"N")</f>
        <v>1519698.1024328216</v>
      </c>
      <c r="H76" s="11">
        <f>ver(C76,VER_ARRAY)+E76</f>
        <v>61.189598575356413</v>
      </c>
      <c r="I76" s="11">
        <f>Hor(C76,D76,HOR_ARRAY,"W")</f>
        <v>212.79333527518804</v>
      </c>
      <c r="J76" s="12" t="str">
        <f>DegtoDMSStr2(Hor(C76,D76,HOR_ARRAY,"W"))</f>
        <v xml:space="preserve"> 212 - 47 - 36.01</v>
      </c>
      <c r="K76" s="11" t="str">
        <f>HorType(C76,HOR_ARRAY)</f>
        <v>Clothoid</v>
      </c>
      <c r="L76" s="11" t="str">
        <f>VerType(C76,VER_ARRAY)</f>
        <v>Parabola</v>
      </c>
    </row>
    <row r="77" spans="2:12" ht="30" customHeight="1">
      <c r="B77" s="9">
        <v>73</v>
      </c>
      <c r="C77" s="16">
        <v>9000</v>
      </c>
      <c r="D77" s="17">
        <v>0</v>
      </c>
      <c r="E77" s="17">
        <v>0</v>
      </c>
      <c r="F77" s="11">
        <f>Hor(C77,D77,HOR_ARRAY,"E")</f>
        <v>662230.41743430402</v>
      </c>
      <c r="G77" s="11">
        <f>Hor(C77,D77,HOR_ARRAY,"N")</f>
        <v>1519676.863767294</v>
      </c>
      <c r="H77" s="11">
        <f>ver(C77,VER_ARRAY)+E77</f>
        <v>60.716120325879416</v>
      </c>
      <c r="I77" s="11">
        <f>Hor(C77,D77,HOR_ARRAY,"W")</f>
        <v>210.33440451630207</v>
      </c>
      <c r="J77" s="12" t="str">
        <f>DegtoDMSStr2(Hor(C77,D77,HOR_ARRAY,"W"))</f>
        <v xml:space="preserve"> 210 - 20 - 3.86</v>
      </c>
      <c r="K77" s="11" t="str">
        <f>HorType(C77,HOR_ARRAY)</f>
        <v>Clothoid</v>
      </c>
      <c r="L77" s="11" t="str">
        <f>VerType(C77,VER_ARRAY)</f>
        <v>Parabola</v>
      </c>
    </row>
    <row r="78" spans="2:12" ht="30" customHeight="1">
      <c r="B78" s="9">
        <v>74</v>
      </c>
      <c r="C78" s="16">
        <v>9025</v>
      </c>
      <c r="D78" s="17">
        <v>0</v>
      </c>
      <c r="E78" s="17">
        <v>0</v>
      </c>
      <c r="F78" s="11">
        <f>Hor(C78,D78,HOR_ARRAY,"E")</f>
        <v>662218.71046992065</v>
      </c>
      <c r="G78" s="11">
        <f>Hor(C78,D78,HOR_ARRAY,"N")</f>
        <v>1519654.7832944598</v>
      </c>
      <c r="H78" s="11">
        <f>ver(C78,VER_ARRAY)+E78</f>
        <v>60.385430966366691</v>
      </c>
      <c r="I78" s="11">
        <f>Hor(C78,D78,HOR_ARRAY,"W")</f>
        <v>205.39379412741872</v>
      </c>
      <c r="J78" s="12" t="str">
        <f>DegtoDMSStr2(Hor(C78,D78,HOR_ARRAY,"W"))</f>
        <v xml:space="preserve"> 205 - 23 - 37.66</v>
      </c>
      <c r="K78" s="11" t="str">
        <f>HorType(C78,HOR_ARRAY)</f>
        <v>Circular</v>
      </c>
      <c r="L78" s="11" t="str">
        <f>VerType(C78,VER_ARRAY)</f>
        <v>Parabola</v>
      </c>
    </row>
    <row r="79" spans="2:12" ht="30" customHeight="1">
      <c r="B79" s="9">
        <v>75</v>
      </c>
      <c r="C79" s="16">
        <v>9050</v>
      </c>
      <c r="D79" s="17">
        <v>0</v>
      </c>
      <c r="E79" s="17">
        <v>0</v>
      </c>
      <c r="F79" s="11">
        <f>Hor(C79,D79,HOR_ARRAY,"E")</f>
        <v>662209.01134311501</v>
      </c>
      <c r="G79" s="11">
        <f>Hor(C79,D79,HOR_ARRAY,"N")</f>
        <v>1519631.7504517266</v>
      </c>
      <c r="H79" s="11">
        <f>ver(C79,VER_ARRAY)+E79</f>
        <v>60.197530496818224</v>
      </c>
      <c r="I79" s="11">
        <f>Hor(C79,D79,HOR_ARRAY,"W")</f>
        <v>200.27809967039354</v>
      </c>
      <c r="J79" s="12" t="str">
        <f>DegtoDMSStr2(Hor(C79,D79,HOR_ARRAY,"W"))</f>
        <v xml:space="preserve"> 200 - 16 - 41.16</v>
      </c>
      <c r="K79" s="11" t="str">
        <f>HorType(C79,HOR_ARRAY)</f>
        <v>Circular</v>
      </c>
      <c r="L79" s="11" t="str">
        <f>VerType(C79,VER_ARRAY)</f>
        <v>Parabola</v>
      </c>
    </row>
    <row r="80" spans="2:12" ht="30" customHeight="1">
      <c r="B80" s="9">
        <v>76</v>
      </c>
      <c r="C80" s="16">
        <v>9075</v>
      </c>
      <c r="D80" s="17">
        <v>0</v>
      </c>
      <c r="E80" s="17">
        <v>0</v>
      </c>
      <c r="F80" s="11">
        <f>Hor(C80,D80,HOR_ARRAY,"E")</f>
        <v>662201.39687021589</v>
      </c>
      <c r="G80" s="11">
        <f>Hor(C80,D80,HOR_ARRAY,"N")</f>
        <v>1519607.9466809854</v>
      </c>
      <c r="H80" s="11">
        <f>ver(C80,VER_ARRAY)+E80</f>
        <v>60.15</v>
      </c>
      <c r="I80" s="11">
        <f>Hor(C80,D80,HOR_ARRAY,"W")</f>
        <v>195.33230734828189</v>
      </c>
      <c r="J80" s="12" t="str">
        <f>DegtoDMSStr2(Hor(C80,D80,HOR_ARRAY,"W"))</f>
        <v xml:space="preserve"> 195 - 19 - 56.31</v>
      </c>
      <c r="K80" s="11" t="str">
        <f>HorType(C80,HOR_ARRAY)</f>
        <v>Clothoid</v>
      </c>
      <c r="L80" s="11" t="str">
        <f>VerType(C80,VER_ARRAY)</f>
        <v>Linear</v>
      </c>
    </row>
    <row r="81" spans="2:12" ht="30" customHeight="1">
      <c r="B81" s="9">
        <v>77</v>
      </c>
      <c r="C81" s="16">
        <v>9100</v>
      </c>
      <c r="D81" s="17">
        <v>0</v>
      </c>
      <c r="E81" s="17">
        <v>0</v>
      </c>
      <c r="F81" s="11">
        <f>Hor(C81,D81,HOR_ARRAY,"E")</f>
        <v>662195.42193316738</v>
      </c>
      <c r="G81" s="11">
        <f>Hor(C81,D81,HOR_ARRAY,"N")</f>
        <v>1519583.6732331889</v>
      </c>
      <c r="H81" s="11">
        <f>ver(C81,VER_ARRAY)+E81</f>
        <v>60.15</v>
      </c>
      <c r="I81" s="11">
        <f>Hor(C81,D81,HOR_ARRAY,"W")</f>
        <v>192.85760385582685</v>
      </c>
      <c r="J81" s="12" t="str">
        <f>DegtoDMSStr2(Hor(C81,D81,HOR_ARRAY,"W"))</f>
        <v xml:space="preserve"> 192 - 51 - 27.37</v>
      </c>
      <c r="K81" s="11" t="str">
        <f>HorType(C81,HOR_ARRAY)</f>
        <v>Clothoid</v>
      </c>
      <c r="L81" s="11" t="str">
        <f>VerType(C81,VER_ARRAY)</f>
        <v>Linear</v>
      </c>
    </row>
    <row r="82" spans="2:12" ht="30" customHeight="1">
      <c r="B82" s="9">
        <v>78</v>
      </c>
      <c r="C82" s="16">
        <v>9125</v>
      </c>
      <c r="D82" s="17">
        <v>0</v>
      </c>
      <c r="E82" s="17">
        <v>0</v>
      </c>
      <c r="F82" s="11">
        <f>Hor(C82,D82,HOR_ARRAY,"E")</f>
        <v>662189.90511845483</v>
      </c>
      <c r="G82" s="11">
        <f>Hor(C82,D82,HOR_ARRAY,"N")</f>
        <v>1519559.2895371162</v>
      </c>
      <c r="H82" s="11">
        <f>ver(C82,VER_ARRAY)+E82</f>
        <v>60.15</v>
      </c>
      <c r="I82" s="11">
        <f>Hor(C82,D82,HOR_ARRAY,"W")</f>
        <v>192.73758713414855</v>
      </c>
      <c r="J82" s="12" t="str">
        <f>DegtoDMSStr2(Hor(C82,D82,HOR_ARRAY,"W"))</f>
        <v xml:space="preserve"> 192 - 44 - 15.31</v>
      </c>
      <c r="K82" s="11" t="str">
        <f>HorType(C82,HOR_ARRAY)</f>
        <v>Linear</v>
      </c>
      <c r="L82" s="11" t="str">
        <f>VerType(C82,VER_ARRAY)</f>
        <v>Linear</v>
      </c>
    </row>
    <row r="83" spans="2:12" ht="30" customHeight="1">
      <c r="B83" s="9">
        <v>79</v>
      </c>
      <c r="C83" s="16">
        <v>9150</v>
      </c>
      <c r="D83" s="17">
        <v>0</v>
      </c>
      <c r="E83" s="17">
        <v>0</v>
      </c>
      <c r="F83" s="11">
        <f>Hor(C83,D83,HOR_ARRAY,"E")</f>
        <v>662184.30892313272</v>
      </c>
      <c r="G83" s="11">
        <f>Hor(C83,D83,HOR_ARRAY,"N")</f>
        <v>1519534.9241640731</v>
      </c>
      <c r="H83" s="11">
        <f>ver(C83,VER_ARRAY)+E83</f>
        <v>60.161092760302203</v>
      </c>
      <c r="I83" s="11">
        <f>Hor(C83,D83,HOR_ARRAY,"W")</f>
        <v>193.56285801778102</v>
      </c>
      <c r="J83" s="12" t="str">
        <f>DegtoDMSStr2(Hor(C83,D83,HOR_ARRAY,"W"))</f>
        <v xml:space="preserve"> 193 - 33 - 46.29</v>
      </c>
      <c r="K83" s="11" t="str">
        <f>HorType(C83,HOR_ARRAY)</f>
        <v>Clothoid</v>
      </c>
      <c r="L83" s="11" t="str">
        <f>VerType(C83,VER_ARRAY)</f>
        <v>Parabola</v>
      </c>
    </row>
    <row r="84" spans="2:12" ht="30" customHeight="1">
      <c r="B84" s="9">
        <v>80</v>
      </c>
      <c r="C84" s="16">
        <v>9175</v>
      </c>
      <c r="D84" s="17">
        <v>0</v>
      </c>
      <c r="E84" s="17">
        <v>0</v>
      </c>
      <c r="F84" s="11">
        <f>Hor(C84,D84,HOR_ARRAY,"E")</f>
        <v>662177.73717757489</v>
      </c>
      <c r="G84" s="11">
        <f>Hor(C84,D84,HOR_ARRAY,"N")</f>
        <v>1519510.8084145198</v>
      </c>
      <c r="H84" s="11">
        <f>ver(C84,VER_ARRAY)+E84</f>
        <v>60.204224014597052</v>
      </c>
      <c r="I84" s="11">
        <f>Hor(C84,D84,HOR_ARRAY,"W")</f>
        <v>197.43630311999127</v>
      </c>
      <c r="J84" s="12" t="str">
        <f>DegtoDMSStr2(Hor(C84,D84,HOR_ARRAY,"W"))</f>
        <v xml:space="preserve"> 197 - 26 - 10.69</v>
      </c>
      <c r="K84" s="11" t="str">
        <f>HorType(C84,HOR_ARRAY)</f>
        <v>Circular</v>
      </c>
      <c r="L84" s="11" t="str">
        <f>VerType(C84,VER_ARRAY)</f>
        <v>Parabola</v>
      </c>
    </row>
    <row r="85" spans="2:12" ht="30" customHeight="1">
      <c r="B85" s="9">
        <v>81</v>
      </c>
      <c r="C85" s="16">
        <v>9200</v>
      </c>
      <c r="D85" s="17">
        <v>0</v>
      </c>
      <c r="E85" s="17">
        <v>0</v>
      </c>
      <c r="F85" s="11">
        <f>Hor(C85,D85,HOR_ARRAY,"E")</f>
        <v>662169.19190930983</v>
      </c>
      <c r="G85" s="11">
        <f>Hor(C85,D85,HOR_ARRAY,"N")</f>
        <v>1519487.3230297996</v>
      </c>
      <c r="H85" s="11">
        <f>ver(C85,VER_ARRAY)+E85</f>
        <v>60.268794560210168</v>
      </c>
      <c r="I85" s="11">
        <f>Hor(C85,D85,HOR_ARRAY,"W")</f>
        <v>202.55199757701644</v>
      </c>
      <c r="J85" s="12" t="str">
        <f>DegtoDMSStr2(Hor(C85,D85,HOR_ARRAY,"W"))</f>
        <v xml:space="preserve"> 202 - 33 - 7.19</v>
      </c>
      <c r="K85" s="11" t="str">
        <f>HorType(C85,HOR_ARRAY)</f>
        <v>Circular</v>
      </c>
      <c r="L85" s="11" t="str">
        <f>VerType(C85,VER_ARRAY)</f>
        <v>Linear</v>
      </c>
    </row>
    <row r="86" spans="2:12" ht="30" customHeight="1">
      <c r="B86" s="9">
        <v>82</v>
      </c>
      <c r="C86" s="16">
        <v>9225</v>
      </c>
      <c r="D86" s="17">
        <v>0</v>
      </c>
      <c r="E86" s="17">
        <v>0</v>
      </c>
      <c r="F86" s="11">
        <f>Hor(C86,D86,HOR_ARRAY,"E")</f>
        <v>662158.5865552125</v>
      </c>
      <c r="G86" s="11">
        <f>Hor(C86,D86,HOR_ARRAY,"N")</f>
        <v>1519464.6931519909</v>
      </c>
      <c r="H86" s="11">
        <f>ver(C86,VER_ARRAY)+E86</f>
        <v>60.333858663451124</v>
      </c>
      <c r="I86" s="11">
        <f>Hor(C86,D86,HOR_ARRAY,"W")</f>
        <v>207.66769203404164</v>
      </c>
      <c r="J86" s="12" t="str">
        <f>DegtoDMSStr2(Hor(C86,D86,HOR_ARRAY,"W"))</f>
        <v xml:space="preserve"> 207 - 40 - 3.69</v>
      </c>
      <c r="K86" s="11" t="str">
        <f>HorType(C86,HOR_ARRAY)</f>
        <v>Circular</v>
      </c>
      <c r="L86" s="11" t="str">
        <f>VerType(C86,VER_ARRAY)</f>
        <v>Linear</v>
      </c>
    </row>
    <row r="87" spans="2:12" ht="30" customHeight="1">
      <c r="B87" s="9">
        <v>83</v>
      </c>
      <c r="C87" s="16">
        <v>9250</v>
      </c>
      <c r="D87" s="17">
        <v>0</v>
      </c>
      <c r="E87" s="17">
        <v>0</v>
      </c>
      <c r="F87" s="11">
        <f>Hor(C87,D87,HOR_ARRAY,"E")</f>
        <v>662146.00560436561</v>
      </c>
      <c r="G87" s="11">
        <f>Hor(C87,D87,HOR_ARRAY,"N")</f>
        <v>1519443.099065278</v>
      </c>
      <c r="H87" s="11">
        <f>ver(C87,VER_ARRAY)+E87</f>
        <v>60.398922766692081</v>
      </c>
      <c r="I87" s="11">
        <f>Hor(C87,D87,HOR_ARRAY,"W")</f>
        <v>212.78338649106681</v>
      </c>
      <c r="J87" s="12" t="str">
        <f>DegtoDMSStr2(Hor(C87,D87,HOR_ARRAY,"W"))</f>
        <v xml:space="preserve"> 212 - 47 - 0.19</v>
      </c>
      <c r="K87" s="11" t="str">
        <f>HorType(C87,HOR_ARRAY)</f>
        <v>Circular</v>
      </c>
      <c r="L87" s="11" t="str">
        <f>VerType(C87,VER_ARRAY)</f>
        <v>Linear</v>
      </c>
    </row>
    <row r="88" spans="2:12" ht="30" customHeight="1">
      <c r="B88" s="9">
        <v>84</v>
      </c>
      <c r="C88" s="16">
        <v>9275</v>
      </c>
      <c r="D88" s="17">
        <v>0</v>
      </c>
      <c r="E88" s="17">
        <v>0</v>
      </c>
      <c r="F88" s="11">
        <f>Hor(C88,D88,HOR_ARRAY,"E")</f>
        <v>662131.54928472836</v>
      </c>
      <c r="G88" s="11">
        <f>Hor(C88,D88,HOR_ARRAY,"N")</f>
        <v>1519422.7128020667</v>
      </c>
      <c r="H88" s="11">
        <f>ver(C88,VER_ARRAY)+E88</f>
        <v>60.463986869933031</v>
      </c>
      <c r="I88" s="11">
        <f>Hor(C88,D88,HOR_ARRAY,"W")</f>
        <v>217.89908094809198</v>
      </c>
      <c r="J88" s="12" t="str">
        <f>DegtoDMSStr2(Hor(C88,D88,HOR_ARRAY,"W"))</f>
        <v xml:space="preserve"> 217 - 53 - 56.69</v>
      </c>
      <c r="K88" s="11" t="str">
        <f>HorType(C88,HOR_ARRAY)</f>
        <v>Circular</v>
      </c>
      <c r="L88" s="11" t="str">
        <f>VerType(C88,VER_ARRAY)</f>
        <v>Linear</v>
      </c>
    </row>
    <row r="89" spans="2:12" ht="30" customHeight="1">
      <c r="B89" s="9">
        <v>85</v>
      </c>
      <c r="C89" s="16">
        <v>9300</v>
      </c>
      <c r="D89" s="17">
        <v>0</v>
      </c>
      <c r="E89" s="17">
        <v>0</v>
      </c>
      <c r="F89" s="11">
        <f>Hor(C89,D89,HOR_ARRAY,"E")</f>
        <v>662115.33276465558</v>
      </c>
      <c r="G89" s="11">
        <f>Hor(C89,D89,HOR_ARRAY,"N")</f>
        <v>1519403.6967724627</v>
      </c>
      <c r="H89" s="11">
        <f>ver(C89,VER_ARRAY)+E89</f>
        <v>60.529050973173987</v>
      </c>
      <c r="I89" s="11">
        <f>Hor(C89,D89,HOR_ARRAY,"W")</f>
        <v>223.01477540511718</v>
      </c>
      <c r="J89" s="12" t="str">
        <f>DegtoDMSStr2(Hor(C89,D89,HOR_ARRAY,"W"))</f>
        <v xml:space="preserve"> 223 - 0 - 53.19</v>
      </c>
      <c r="K89" s="11" t="str">
        <f>HorType(C89,HOR_ARRAY)</f>
        <v>Circular</v>
      </c>
      <c r="L89" s="11" t="str">
        <f>VerType(C89,VER_ARRAY)</f>
        <v>Linear</v>
      </c>
    </row>
    <row r="90" spans="2:12" ht="30" customHeight="1">
      <c r="B90" s="9">
        <v>86</v>
      </c>
      <c r="C90" s="16">
        <v>9325</v>
      </c>
      <c r="D90" s="17">
        <v>0</v>
      </c>
      <c r="E90" s="17">
        <v>0</v>
      </c>
      <c r="F90" s="11">
        <f>Hor(C90,D90,HOR_ARRAY,"E")</f>
        <v>662097.55713498418</v>
      </c>
      <c r="G90" s="11">
        <f>Hor(C90,D90,HOR_ARRAY,"N")</f>
        <v>1519386.1257339455</v>
      </c>
      <c r="H90" s="11">
        <f>ver(C90,VER_ARRAY)+E90</f>
        <v>60.594115076414944</v>
      </c>
      <c r="I90" s="11">
        <f>Hor(C90,D90,HOR_ARRAY,"W")</f>
        <v>227.18858600492436</v>
      </c>
      <c r="J90" s="12" t="str">
        <f>DegtoDMSStr2(Hor(C90,D90,HOR_ARRAY,"W"))</f>
        <v xml:space="preserve"> 227 - 11 - 18.91</v>
      </c>
      <c r="K90" s="11" t="str">
        <f>HorType(C90,HOR_ARRAY)</f>
        <v>Clothoid</v>
      </c>
      <c r="L90" s="11" t="str">
        <f>VerType(C90,VER_ARRAY)</f>
        <v>Linear</v>
      </c>
    </row>
    <row r="91" spans="2:12" ht="30" customHeight="1">
      <c r="B91" s="9">
        <v>87</v>
      </c>
      <c r="C91" s="16">
        <v>9350</v>
      </c>
      <c r="D91" s="17">
        <v>0</v>
      </c>
      <c r="E91" s="17">
        <v>0</v>
      </c>
      <c r="F91" s="11">
        <f>Hor(C91,D91,HOR_ARRAY,"E")</f>
        <v>662078.98204965261</v>
      </c>
      <c r="G91" s="11">
        <f>Hor(C91,D91,HOR_ARRAY,"N")</f>
        <v>1519369.3941682249</v>
      </c>
      <c r="H91" s="11">
        <f>ver(C91,VER_ARRAY)+E91</f>
        <v>60.659179179655901</v>
      </c>
      <c r="I91" s="11">
        <f>Hor(C91,D91,HOR_ARRAY,"W")</f>
        <v>228.29633959622265</v>
      </c>
      <c r="J91" s="12" t="str">
        <f>DegtoDMSStr2(Hor(C91,D91,HOR_ARRAY,"W"))</f>
        <v xml:space="preserve"> 228 - 17 - 46.82</v>
      </c>
      <c r="K91" s="11" t="str">
        <f>HorType(C91,HOR_ARRAY)</f>
        <v>Linear</v>
      </c>
      <c r="L91" s="11" t="str">
        <f>VerType(C91,VER_ARRAY)</f>
        <v>Linear</v>
      </c>
    </row>
    <row r="92" spans="2:12" ht="30" customHeight="1">
      <c r="B92" s="9">
        <v>88</v>
      </c>
      <c r="C92" s="16">
        <v>9375</v>
      </c>
      <c r="D92" s="17">
        <v>0</v>
      </c>
      <c r="E92" s="17">
        <v>0</v>
      </c>
      <c r="F92" s="11">
        <f>Hor(C92,D92,HOR_ARRAY,"E")</f>
        <v>662060.31719426229</v>
      </c>
      <c r="G92" s="11">
        <f>Hor(C92,D92,HOR_ARRAY,"N")</f>
        <v>1519352.7621757661</v>
      </c>
      <c r="H92" s="11">
        <f>ver(C92,VER_ARRAY)+E92</f>
        <v>60.816254583506677</v>
      </c>
      <c r="I92" s="11">
        <f>Hor(C92,D92,HOR_ARRAY,"W")</f>
        <v>228.29058521868356</v>
      </c>
      <c r="J92" s="12" t="str">
        <f>DegtoDMSStr2(Hor(C92,D92,HOR_ARRAY,"W"))</f>
        <v xml:space="preserve"> 228 - 17 - 26.11</v>
      </c>
      <c r="K92" s="11" t="str">
        <f>HorType(C92,HOR_ARRAY)</f>
        <v>Clothoid</v>
      </c>
      <c r="L92" s="11" t="str">
        <f>VerType(C92,VER_ARRAY)</f>
        <v>Parabola</v>
      </c>
    </row>
    <row r="93" spans="2:12" ht="30" customHeight="1">
      <c r="B93" s="9">
        <v>89</v>
      </c>
      <c r="C93" s="16">
        <v>9400</v>
      </c>
      <c r="D93" s="17">
        <v>0</v>
      </c>
      <c r="E93" s="17">
        <v>0</v>
      </c>
      <c r="F93" s="11">
        <f>Hor(C93,D93,HOR_ARRAY,"E")</f>
        <v>662041.75115343917</v>
      </c>
      <c r="G93" s="11">
        <f>Hor(C93,D93,HOR_ARRAY,"N")</f>
        <v>1519336.0203806548</v>
      </c>
      <c r="H93" s="11">
        <f>ver(C93,VER_ARRAY)+E93</f>
        <v>61.222335133634658</v>
      </c>
      <c r="I93" s="11">
        <f>Hor(C93,D93,HOR_ARRAY,"W")</f>
        <v>227.35947112945752</v>
      </c>
      <c r="J93" s="12" t="str">
        <f>DegtoDMSStr2(Hor(C93,D93,HOR_ARRAY,"W"))</f>
        <v xml:space="preserve"> 227 - 21 - 34.1</v>
      </c>
      <c r="K93" s="11" t="str">
        <f>HorType(C93,HOR_ARRAY)</f>
        <v>Clothoid</v>
      </c>
      <c r="L93" s="11" t="str">
        <f>VerType(C93,VER_ARRAY)</f>
        <v>Parabola</v>
      </c>
    </row>
    <row r="94" spans="2:12" ht="30" customHeight="1">
      <c r="B94" s="9">
        <v>90</v>
      </c>
      <c r="C94" s="16">
        <v>9425</v>
      </c>
      <c r="D94" s="17">
        <v>0</v>
      </c>
      <c r="E94" s="17">
        <v>0</v>
      </c>
      <c r="F94" s="11">
        <f>Hor(C94,D94,HOR_ARRAY,"E")</f>
        <v>662023.6992771728</v>
      </c>
      <c r="G94" s="11">
        <f>Hor(C94,D94,HOR_ARRAY,"N")</f>
        <v>1519318.727948131</v>
      </c>
      <c r="H94" s="11">
        <f>ver(C94,VER_ARRAY)+E94</f>
        <v>61.880060852325073</v>
      </c>
      <c r="I94" s="11">
        <f>Hor(C94,D94,HOR_ARRAY,"W")</f>
        <v>224.84256211733464</v>
      </c>
      <c r="J94" s="12" t="str">
        <f>DegtoDMSStr2(Hor(C94,D94,HOR_ARRAY,"W"))</f>
        <v xml:space="preserve"> 224 - 50 - 33.22</v>
      </c>
      <c r="K94" s="11" t="str">
        <f>HorType(C94,HOR_ARRAY)</f>
        <v>Circular</v>
      </c>
      <c r="L94" s="11" t="str">
        <f>VerType(C94,VER_ARRAY)</f>
        <v>Parabola</v>
      </c>
    </row>
    <row r="95" spans="2:12" ht="30" customHeight="1">
      <c r="B95" s="9">
        <v>91</v>
      </c>
      <c r="C95" s="16">
        <v>9450</v>
      </c>
      <c r="D95" s="17">
        <v>0</v>
      </c>
      <c r="E95" s="17">
        <v>0</v>
      </c>
      <c r="F95" s="11">
        <f>Hor(C95,D95,HOR_ARRAY,"E")</f>
        <v>662006.57158141921</v>
      </c>
      <c r="G95" s="11">
        <f>Hor(C95,D95,HOR_ARRAY,"N")</f>
        <v>1519300.521320116</v>
      </c>
      <c r="H95" s="11">
        <f>ver(C95,VER_ARRAY)+E95</f>
        <v>62.697420438968095</v>
      </c>
      <c r="I95" s="11">
        <f>Hor(C95,D95,HOR_ARRAY,"W")</f>
        <v>221.65946334407451</v>
      </c>
      <c r="J95" s="12" t="str">
        <f>DegtoDMSStr2(Hor(C95,D95,HOR_ARRAY,"W"))</f>
        <v xml:space="preserve"> 221 - 39 - 34.07</v>
      </c>
      <c r="K95" s="11" t="str">
        <f>HorType(C95,HOR_ARRAY)</f>
        <v>Circular</v>
      </c>
      <c r="L95" s="11" t="str">
        <f>VerType(C95,VER_ARRAY)</f>
        <v>Linear</v>
      </c>
    </row>
    <row r="96" spans="2:12" ht="30" customHeight="1">
      <c r="B96" s="9">
        <v>92</v>
      </c>
      <c r="C96" s="16">
        <v>9475</v>
      </c>
      <c r="D96" s="17">
        <v>0</v>
      </c>
      <c r="E96" s="17">
        <v>0</v>
      </c>
      <c r="F96" s="11">
        <f>Hor(C96,D96,HOR_ARRAY,"E")</f>
        <v>661990.48126960348</v>
      </c>
      <c r="G96" s="11">
        <f>Hor(C96,D96,HOR_ARRAY,"N")</f>
        <v>1519281.3917322692</v>
      </c>
      <c r="H96" s="11">
        <f>ver(C96,VER_ARRAY)+E96</f>
        <v>63.51742004789633</v>
      </c>
      <c r="I96" s="11">
        <f>Hor(C96,D96,HOR_ARRAY,"W")</f>
        <v>218.47636457081441</v>
      </c>
      <c r="J96" s="12" t="str">
        <f>DegtoDMSStr2(Hor(C96,D96,HOR_ARRAY,"W"))</f>
        <v xml:space="preserve"> 218 - 28 - 34.91</v>
      </c>
      <c r="K96" s="11" t="str">
        <f>HorType(C96,HOR_ARRAY)</f>
        <v>Circular</v>
      </c>
      <c r="L96" s="11" t="str">
        <f>VerType(C96,VER_ARRAY)</f>
        <v>Linear</v>
      </c>
    </row>
    <row r="97" spans="2:12" ht="30" customHeight="1">
      <c r="B97" s="9">
        <v>93</v>
      </c>
      <c r="C97" s="16">
        <v>9500</v>
      </c>
      <c r="D97" s="17">
        <v>0</v>
      </c>
      <c r="E97" s="17">
        <v>0</v>
      </c>
      <c r="F97" s="11">
        <f>Hor(C97,D97,HOR_ARRAY,"E")</f>
        <v>661975.47556499427</v>
      </c>
      <c r="G97" s="11">
        <f>Hor(C97,D97,HOR_ARRAY,"N")</f>
        <v>1519261.3999432926</v>
      </c>
      <c r="H97" s="11">
        <f>ver(C97,VER_ARRAY)+E97</f>
        <v>64.337419656824565</v>
      </c>
      <c r="I97" s="11">
        <f>Hor(C97,D97,HOR_ARRAY,"W")</f>
        <v>215.36275484112002</v>
      </c>
      <c r="J97" s="12" t="str">
        <f>DegtoDMSStr2(Hor(C97,D97,HOR_ARRAY,"W"))</f>
        <v xml:space="preserve"> 215 - 21 - 45.92</v>
      </c>
      <c r="K97" s="11" t="str">
        <f>HorType(C97,HOR_ARRAY)</f>
        <v>Clothoid</v>
      </c>
      <c r="L97" s="11" t="str">
        <f>VerType(C97,VER_ARRAY)</f>
        <v>Linear</v>
      </c>
    </row>
    <row r="98" spans="2:12" ht="30" customHeight="1">
      <c r="B98" s="9">
        <v>94</v>
      </c>
      <c r="C98" s="16">
        <v>9525</v>
      </c>
      <c r="D98" s="17">
        <v>0</v>
      </c>
      <c r="E98" s="17">
        <v>0</v>
      </c>
      <c r="F98" s="11">
        <f>Hor(C98,D98,HOR_ARRAY,"E")</f>
        <v>661961.39831012802</v>
      </c>
      <c r="G98" s="11">
        <f>Hor(C98,D98,HOR_ARRAY,"N")</f>
        <v>1519240.7414844153</v>
      </c>
      <c r="H98" s="11">
        <f>ver(C98,VER_ARRAY)+E98</f>
        <v>65.157419265752807</v>
      </c>
      <c r="I98" s="11">
        <f>Hor(C98,D98,HOR_ARRAY,"W")</f>
        <v>213.4457421095301</v>
      </c>
      <c r="J98" s="12" t="str">
        <f>DegtoDMSStr2(Hor(C98,D98,HOR_ARRAY,"W"))</f>
        <v xml:space="preserve"> 213 - 26 - 44.67</v>
      </c>
      <c r="K98" s="11" t="str">
        <f>HorType(C98,HOR_ARRAY)</f>
        <v>Clothoid</v>
      </c>
      <c r="L98" s="11" t="str">
        <f>VerType(C98,VER_ARRAY)</f>
        <v>Linear</v>
      </c>
    </row>
    <row r="99" spans="2:12" ht="30" customHeight="1">
      <c r="B99" s="9">
        <v>95</v>
      </c>
      <c r="C99" s="16">
        <v>9550</v>
      </c>
      <c r="D99" s="17">
        <v>0</v>
      </c>
      <c r="E99" s="17">
        <v>0</v>
      </c>
      <c r="F99" s="11">
        <f>Hor(C99,D99,HOR_ARRAY,"E")</f>
        <v>661947.7298838346</v>
      </c>
      <c r="G99" s="11">
        <f>Hor(C99,D99,HOR_ARRAY,"N")</f>
        <v>1519219.8089360246</v>
      </c>
      <c r="H99" s="11">
        <f>ver(C99,VER_ARRAY)+E99</f>
        <v>65.977418874681035</v>
      </c>
      <c r="I99" s="11">
        <f>Hor(C99,D99,HOR_ARRAY,"W")</f>
        <v>213.05078909246663</v>
      </c>
      <c r="J99" s="12" t="str">
        <f>DegtoDMSStr2(Hor(C99,D99,HOR_ARRAY,"W"))</f>
        <v xml:space="preserve"> 213 - 3 - 2.84</v>
      </c>
      <c r="K99" s="11" t="str">
        <f>HorType(C99,HOR_ARRAY)</f>
        <v>Linear</v>
      </c>
      <c r="L99" s="11" t="str">
        <f>VerType(C99,VER_ARRAY)</f>
        <v>Linear</v>
      </c>
    </row>
    <row r="100" spans="2:12" ht="30" customHeight="1">
      <c r="B100" s="9">
        <v>96</v>
      </c>
      <c r="C100" s="16">
        <v>9575</v>
      </c>
      <c r="D100" s="17">
        <v>0</v>
      </c>
      <c r="E100" s="17">
        <v>0</v>
      </c>
      <c r="F100" s="11">
        <f>Hor(C100,D100,HOR_ARRAY,"E")</f>
        <v>661934.09210317046</v>
      </c>
      <c r="G100" s="11">
        <f>Hor(C100,D100,HOR_ARRAY,"N")</f>
        <v>1519198.8563499423</v>
      </c>
      <c r="H100" s="11">
        <f>ver(C100,VER_ARRAY)+E100</f>
        <v>66.797418483609277</v>
      </c>
      <c r="I100" s="11">
        <f>Hor(C100,D100,HOR_ARRAY,"W")</f>
        <v>213.14013116668261</v>
      </c>
      <c r="J100" s="12" t="str">
        <f>DegtoDMSStr2(Hor(C100,D100,HOR_ARRAY,"W"))</f>
        <v xml:space="preserve"> 213 - 8 - 24.47</v>
      </c>
      <c r="K100" s="11" t="str">
        <f>HorType(C100,HOR_ARRAY)</f>
        <v>Clothoid</v>
      </c>
      <c r="L100" s="11" t="str">
        <f>VerType(C100,VER_ARRAY)</f>
        <v>Linear</v>
      </c>
    </row>
    <row r="101" spans="2:12" ht="30" customHeight="1">
      <c r="B101" s="9">
        <v>97</v>
      </c>
      <c r="C101" s="16">
        <v>9600</v>
      </c>
      <c r="D101" s="17">
        <v>0</v>
      </c>
      <c r="E101" s="17">
        <v>0</v>
      </c>
      <c r="F101" s="11">
        <f>Hor(C101,D101,HOR_ARRAY,"E")</f>
        <v>661920.19433348824</v>
      </c>
      <c r="G101" s="11">
        <f>Hor(C101,D101,HOR_ARRAY,"N")</f>
        <v>1519178.076276608</v>
      </c>
      <c r="H101" s="11">
        <f>ver(C101,VER_ARRAY)+E101</f>
        <v>67.61741809253752</v>
      </c>
      <c r="I101" s="11">
        <f>Hor(C101,D101,HOR_ARRAY,"W")</f>
        <v>214.67860754328396</v>
      </c>
      <c r="J101" s="12" t="str">
        <f>DegtoDMSStr2(Hor(C101,D101,HOR_ARRAY,"W"))</f>
        <v xml:space="preserve"> 214 - 40 - 42.99</v>
      </c>
      <c r="K101" s="11" t="str">
        <f>HorType(C101,HOR_ARRAY)</f>
        <v>Circular</v>
      </c>
      <c r="L101" s="11" t="str">
        <f>VerType(C101,VER_ARRAY)</f>
        <v>Linear</v>
      </c>
    </row>
    <row r="102" spans="2:12" ht="30" customHeight="1">
      <c r="B102" s="9">
        <v>98</v>
      </c>
      <c r="C102" s="16">
        <v>9625</v>
      </c>
      <c r="D102" s="17">
        <v>0</v>
      </c>
      <c r="E102" s="17">
        <v>0</v>
      </c>
      <c r="F102" s="11">
        <f>Hor(C102,D102,HOR_ARRAY,"E")</f>
        <v>661905.60826749785</v>
      </c>
      <c r="G102" s="11">
        <f>Hor(C102,D102,HOR_ARRAY,"N")</f>
        <v>1519157.7740003823</v>
      </c>
      <c r="H102" s="11">
        <f>ver(C102,VER_ARRAY)+E102</f>
        <v>68.437417701465748</v>
      </c>
      <c r="I102" s="11">
        <f>Hor(C102,D102,HOR_ARRAY,"W")</f>
        <v>216.65123354285274</v>
      </c>
      <c r="J102" s="12" t="str">
        <f>DegtoDMSStr2(Hor(C102,D102,HOR_ARRAY,"W"))</f>
        <v xml:space="preserve"> 216 - 39 - 4.44</v>
      </c>
      <c r="K102" s="11" t="str">
        <f>HorType(C102,HOR_ARRAY)</f>
        <v>Clothoid</v>
      </c>
      <c r="L102" s="11" t="str">
        <f>VerType(C102,VER_ARRAY)</f>
        <v>Linear</v>
      </c>
    </row>
    <row r="103" spans="2:12" ht="30" customHeight="1">
      <c r="B103" s="9">
        <v>99</v>
      </c>
      <c r="C103" s="16">
        <v>9650</v>
      </c>
      <c r="D103" s="17">
        <v>0</v>
      </c>
      <c r="E103" s="17">
        <v>0</v>
      </c>
      <c r="F103" s="11">
        <f>Hor(C103,D103,HOR_ARRAY,"E")</f>
        <v>661890.54017257632</v>
      </c>
      <c r="G103" s="11">
        <f>Hor(C103,D103,HOR_ARRAY,"N")</f>
        <v>1519137.825377543</v>
      </c>
      <c r="H103" s="11">
        <f>ver(C103,VER_ARRAY)+E103</f>
        <v>69.25741731039399</v>
      </c>
      <c r="I103" s="11">
        <f>Hor(C103,D103,HOR_ARRAY,"W")</f>
        <v>217.19900267542124</v>
      </c>
      <c r="J103" s="12" t="str">
        <f>DegtoDMSStr2(Hor(C103,D103,HOR_ARRAY,"W"))</f>
        <v xml:space="preserve"> 217 - 11 - 56.41</v>
      </c>
      <c r="K103" s="11" t="str">
        <f>HorType(C103,HOR_ARRAY)</f>
        <v>Linear</v>
      </c>
      <c r="L103" s="11" t="str">
        <f>VerType(C103,VER_ARRAY)</f>
        <v>Linear</v>
      </c>
    </row>
    <row r="104" spans="2:12" ht="30" customHeight="1">
      <c r="B104" s="9">
        <v>100</v>
      </c>
      <c r="C104" s="16">
        <v>9675</v>
      </c>
      <c r="D104" s="17">
        <v>0</v>
      </c>
      <c r="E104" s="17">
        <v>0</v>
      </c>
      <c r="F104" s="11">
        <f>Hor(C104,D104,HOR_ARRAY,"E")</f>
        <v>661875.42553922825</v>
      </c>
      <c r="G104" s="11">
        <f>Hor(C104,D104,HOR_ARRAY,"N")</f>
        <v>1519117.9118680893</v>
      </c>
      <c r="H104" s="11">
        <f>ver(C104,VER_ARRAY)+E104</f>
        <v>70.077416919322218</v>
      </c>
      <c r="I104" s="11">
        <f>Hor(C104,D104,HOR_ARRAY,"W")</f>
        <v>217.19900267542124</v>
      </c>
      <c r="J104" s="12" t="str">
        <f>DegtoDMSStr2(Hor(C104,D104,HOR_ARRAY,"W"))</f>
        <v xml:space="preserve"> 217 - 11 - 56.41</v>
      </c>
      <c r="K104" s="11" t="str">
        <f>HorType(C104,HOR_ARRAY)</f>
        <v>Linear</v>
      </c>
      <c r="L104" s="11" t="str">
        <f>VerType(C104,VER_ARRAY)</f>
        <v>Linear</v>
      </c>
    </row>
    <row r="105" spans="2:12" ht="30" customHeight="1">
      <c r="B105" s="9">
        <v>101</v>
      </c>
      <c r="C105" s="16">
        <v>9700</v>
      </c>
      <c r="D105" s="17">
        <v>0</v>
      </c>
      <c r="E105" s="17">
        <v>0</v>
      </c>
      <c r="F105" s="11">
        <f>Hor(C105,D105,HOR_ARRAY,"E")</f>
        <v>661860.31090588018</v>
      </c>
      <c r="G105" s="11">
        <f>Hor(C105,D105,HOR_ARRAY,"N")</f>
        <v>1519097.9983586359</v>
      </c>
      <c r="H105" s="11">
        <f>ver(C105,VER_ARRAY)+E105</f>
        <v>70.89741652825046</v>
      </c>
      <c r="I105" s="11">
        <f>Hor(C105,D105,HOR_ARRAY,"W")</f>
        <v>217.19900267542124</v>
      </c>
      <c r="J105" s="12" t="str">
        <f>DegtoDMSStr2(Hor(C105,D105,HOR_ARRAY,"W"))</f>
        <v xml:space="preserve"> 217 - 11 - 56.41</v>
      </c>
      <c r="K105" s="11" t="str">
        <f>HorType(C105,HOR_ARRAY)</f>
        <v>Linear</v>
      </c>
      <c r="L105" s="11" t="str">
        <f>VerType(C105,VER_ARRAY)</f>
        <v>Linear</v>
      </c>
    </row>
    <row r="106" spans="2:12" ht="30" customHeight="1">
      <c r="B106" s="9">
        <v>102</v>
      </c>
      <c r="C106" s="16">
        <v>9725</v>
      </c>
      <c r="D106" s="17">
        <v>0</v>
      </c>
      <c r="E106" s="17">
        <v>0</v>
      </c>
      <c r="F106" s="11">
        <f>Hor(C106,D106,HOR_ARRAY,"E")</f>
        <v>661845.20522069721</v>
      </c>
      <c r="G106" s="11">
        <f>Hor(C106,D106,HOR_ARRAY,"N")</f>
        <v>1519078.0780694149</v>
      </c>
      <c r="H106" s="11">
        <f>ver(C106,VER_ARRAY)+E106</f>
        <v>71.717416137178702</v>
      </c>
      <c r="I106" s="11">
        <f>Hor(C106,D106,HOR_ARRAY,"W")</f>
        <v>217.03623053312555</v>
      </c>
      <c r="J106" s="12" t="str">
        <f>DegtoDMSStr2(Hor(C106,D106,HOR_ARRAY,"W"))</f>
        <v xml:space="preserve"> 217 - 2 - 10.43</v>
      </c>
      <c r="K106" s="11" t="str">
        <f>HorType(C106,HOR_ARRAY)</f>
        <v>Clothoid</v>
      </c>
      <c r="L106" s="11" t="str">
        <f>VerType(C106,VER_ARRAY)</f>
        <v>Linear</v>
      </c>
    </row>
    <row r="107" spans="2:12" ht="30" customHeight="1">
      <c r="B107" s="9">
        <v>103</v>
      </c>
      <c r="C107" s="16">
        <v>9750</v>
      </c>
      <c r="D107" s="17">
        <v>0</v>
      </c>
      <c r="E107" s="17">
        <v>0</v>
      </c>
      <c r="F107" s="11">
        <f>Hor(C107,D107,HOR_ARRAY,"E")</f>
        <v>661830.35189443128</v>
      </c>
      <c r="G107" s="11">
        <f>Hor(C107,D107,HOR_ARRAY,"N")</f>
        <v>1519057.9696976398</v>
      </c>
      <c r="H107" s="11">
        <f>ver(C107,VER_ARRAY)+E107</f>
        <v>72.53741574610693</v>
      </c>
      <c r="I107" s="11">
        <f>Hor(C107,D107,HOR_ARRAY,"W")</f>
        <v>215.62649147821691</v>
      </c>
      <c r="J107" s="12" t="str">
        <f>DegtoDMSStr2(Hor(C107,D107,HOR_ARRAY,"W"))</f>
        <v xml:space="preserve"> 215 - 37 - 35.37</v>
      </c>
      <c r="K107" s="11" t="str">
        <f>HorType(C107,HOR_ARRAY)</f>
        <v>Clothoid</v>
      </c>
      <c r="L107" s="11" t="str">
        <f>VerType(C107,VER_ARRAY)</f>
        <v>Linear</v>
      </c>
    </row>
    <row r="108" spans="2:12" ht="30" customHeight="1">
      <c r="B108" s="9">
        <v>104</v>
      </c>
      <c r="C108" s="16">
        <v>9775</v>
      </c>
      <c r="D108" s="17">
        <v>0</v>
      </c>
      <c r="E108" s="17">
        <v>0</v>
      </c>
      <c r="F108" s="11">
        <f>Hor(C108,D108,HOR_ARRAY,"E")</f>
        <v>661816.25662759878</v>
      </c>
      <c r="G108" s="11">
        <f>Hor(C108,D108,HOR_ARRAY,"N")</f>
        <v>1519037.3251848088</v>
      </c>
      <c r="H108" s="11">
        <f>ver(C108,VER_ARRAY)+E108</f>
        <v>73.357415355035172</v>
      </c>
      <c r="I108" s="11">
        <f>Hor(C108,D108,HOR_ARRAY,"W")</f>
        <v>212.82433734013171</v>
      </c>
      <c r="J108" s="12" t="str">
        <f>DegtoDMSStr2(Hor(C108,D108,HOR_ARRAY,"W"))</f>
        <v xml:space="preserve"> 212 - 49 - 27.61</v>
      </c>
      <c r="K108" s="11" t="str">
        <f>HorType(C108,HOR_ARRAY)</f>
        <v>Circular</v>
      </c>
      <c r="L108" s="11" t="str">
        <f>VerType(C108,VER_ARRAY)</f>
        <v>Linear</v>
      </c>
    </row>
    <row r="109" spans="2:12" ht="30" customHeight="1">
      <c r="B109" s="9">
        <v>105</v>
      </c>
      <c r="C109" s="16">
        <v>9800</v>
      </c>
      <c r="D109" s="17">
        <v>0</v>
      </c>
      <c r="E109" s="17">
        <v>0</v>
      </c>
      <c r="F109" s="11">
        <f>Hor(C109,D109,HOR_ARRAY,"E")</f>
        <v>661803.29538204893</v>
      </c>
      <c r="G109" s="11">
        <f>Hor(C109,D109,HOR_ARRAY,"N")</f>
        <v>1519015.9512432138</v>
      </c>
      <c r="H109" s="11">
        <f>ver(C109,VER_ARRAY)+E109</f>
        <v>74.1774149639634</v>
      </c>
      <c r="I109" s="11">
        <f>Hor(C109,D109,HOR_ARRAY,"W")</f>
        <v>209.64123856687158</v>
      </c>
      <c r="J109" s="12" t="str">
        <f>DegtoDMSStr2(Hor(C109,D109,HOR_ARRAY,"W"))</f>
        <v xml:space="preserve"> 209 - 38 - 28.46</v>
      </c>
      <c r="K109" s="11" t="str">
        <f>HorType(C109,HOR_ARRAY)</f>
        <v>Circular</v>
      </c>
      <c r="L109" s="11" t="str">
        <f>VerType(C109,VER_ARRAY)</f>
        <v>Linear</v>
      </c>
    </row>
    <row r="110" spans="2:12" ht="30" customHeight="1">
      <c r="B110" s="9">
        <v>106</v>
      </c>
      <c r="C110" s="16">
        <v>9825</v>
      </c>
      <c r="D110" s="17">
        <v>0</v>
      </c>
      <c r="E110" s="17">
        <v>0</v>
      </c>
      <c r="F110" s="11">
        <f>Hor(C110,D110,HOR_ARRAY,"E")</f>
        <v>661791.54096374754</v>
      </c>
      <c r="G110" s="11">
        <f>Hor(C110,D110,HOR_ARRAY,"N")</f>
        <v>1518993.8905787654</v>
      </c>
      <c r="H110" s="11">
        <f>ver(C110,VER_ARRAY)+E110</f>
        <v>74.997414572891643</v>
      </c>
      <c r="I110" s="11">
        <f>Hor(C110,D110,HOR_ARRAY,"W")</f>
        <v>206.45813979361148</v>
      </c>
      <c r="J110" s="12" t="str">
        <f>DegtoDMSStr2(Hor(C110,D110,HOR_ARRAY,"W"))</f>
        <v xml:space="preserve"> 206 - 27 - 29.3</v>
      </c>
      <c r="K110" s="11" t="str">
        <f>HorType(C110,HOR_ARRAY)</f>
        <v>Circular</v>
      </c>
      <c r="L110" s="11" t="str">
        <f>VerType(C110,VER_ARRAY)</f>
        <v>Linear</v>
      </c>
    </row>
    <row r="111" spans="2:12" ht="30" customHeight="1">
      <c r="B111" s="9">
        <v>107</v>
      </c>
      <c r="C111" s="16">
        <v>9850</v>
      </c>
      <c r="D111" s="17">
        <v>0</v>
      </c>
      <c r="E111" s="17">
        <v>0</v>
      </c>
      <c r="F111" s="11">
        <f>Hor(C111,D111,HOR_ARRAY,"E")</f>
        <v>661780.97150300618</v>
      </c>
      <c r="G111" s="11">
        <f>Hor(C111,D111,HOR_ARRAY,"N")</f>
        <v>1518971.2372727939</v>
      </c>
      <c r="H111" s="11">
        <f>ver(C111,VER_ARRAY)+E111</f>
        <v>75.817414181819871</v>
      </c>
      <c r="I111" s="11">
        <f>Hor(C111,D111,HOR_ARRAY,"W")</f>
        <v>203.79276065936099</v>
      </c>
      <c r="J111" s="12" t="str">
        <f>DegtoDMSStr2(Hor(C111,D111,HOR_ARRAY,"W"))</f>
        <v xml:space="preserve"> 203 - 47 - 33.94</v>
      </c>
      <c r="K111" s="11" t="str">
        <f>HorType(C111,HOR_ARRAY)</f>
        <v>Clothoid</v>
      </c>
      <c r="L111" s="11" t="str">
        <f>VerType(C111,VER_ARRAY)</f>
        <v>Linear</v>
      </c>
    </row>
    <row r="112" spans="2:12" ht="30" customHeight="1">
      <c r="B112" s="9">
        <v>108</v>
      </c>
      <c r="C112" s="16">
        <v>9875</v>
      </c>
      <c r="D112" s="17">
        <v>0</v>
      </c>
      <c r="E112" s="17">
        <v>0</v>
      </c>
      <c r="F112" s="11">
        <f>Hor(C112,D112,HOR_ARRAY,"E")</f>
        <v>661771.18159473955</v>
      </c>
      <c r="G112" s="11">
        <f>Hor(C112,D112,HOR_ARRAY,"N")</f>
        <v>1518948.2343834573</v>
      </c>
      <c r="H112" s="11">
        <f>ver(C112,VER_ARRAY)+E112</f>
        <v>76.637413790748113</v>
      </c>
      <c r="I112" s="11">
        <f>Hor(C112,D112,HOR_ARRAY,"W")</f>
        <v>202.55707909817932</v>
      </c>
      <c r="J112" s="12" t="str">
        <f>DegtoDMSStr2(Hor(C112,D112,HOR_ARRAY,"W"))</f>
        <v xml:space="preserve"> 202 - 33 - 25.48</v>
      </c>
      <c r="K112" s="11" t="str">
        <f>HorType(C112,HOR_ARRAY)</f>
        <v>Clothoid</v>
      </c>
      <c r="L112" s="11" t="str">
        <f>VerType(C112,VER_ARRAY)</f>
        <v>Linear</v>
      </c>
    </row>
    <row r="113" spans="2:12" ht="30" customHeight="1">
      <c r="B113" s="9">
        <v>109</v>
      </c>
      <c r="C113" s="16">
        <v>9900</v>
      </c>
      <c r="D113" s="17">
        <v>0</v>
      </c>
      <c r="E113" s="17">
        <v>0</v>
      </c>
      <c r="F113" s="11">
        <f>Hor(C113,D113,HOR_ARRAY,"E")</f>
        <v>661761.62374584028</v>
      </c>
      <c r="G113" s="11">
        <f>Hor(C113,D113,HOR_ARRAY,"N")</f>
        <v>1518925.133573018</v>
      </c>
      <c r="H113" s="11">
        <f>ver(C113,VER_ARRAY)+E113</f>
        <v>77.457413399676355</v>
      </c>
      <c r="I113" s="11">
        <f>Hor(C113,D113,HOR_ARRAY,"W")</f>
        <v>202.46640023079811</v>
      </c>
      <c r="J113" s="12" t="str">
        <f>DegtoDMSStr2(Hor(C113,D113,HOR_ARRAY,"W"))</f>
        <v xml:space="preserve"> 202 - 27 - 59.04</v>
      </c>
      <c r="K113" s="11" t="str">
        <f>HorType(C113,HOR_ARRAY)</f>
        <v>Linear</v>
      </c>
      <c r="L113" s="11" t="str">
        <f>VerType(C113,VER_ARRAY)</f>
        <v>Linear</v>
      </c>
    </row>
    <row r="114" spans="2:12" ht="30" customHeight="1">
      <c r="B114" s="9">
        <v>110</v>
      </c>
      <c r="C114" s="16">
        <v>9925</v>
      </c>
      <c r="D114" s="17">
        <v>0</v>
      </c>
      <c r="E114" s="17">
        <v>0</v>
      </c>
      <c r="F114" s="11">
        <f>Hor(C114,D114,HOR_ARRAY,"E")</f>
        <v>661752.09626624384</v>
      </c>
      <c r="G114" s="11">
        <f>Hor(C114,D114,HOR_ARRAY,"N")</f>
        <v>1518902.0202497465</v>
      </c>
      <c r="H114" s="11">
        <f>ver(C114,VER_ARRAY)+E114</f>
        <v>78.277413008604583</v>
      </c>
      <c r="I114" s="11">
        <f>Hor(C114,D114,HOR_ARRAY,"W")</f>
        <v>202.16636062078669</v>
      </c>
      <c r="J114" s="12" t="str">
        <f>DegtoDMSStr2(Hor(C114,D114,HOR_ARRAY,"W"))</f>
        <v xml:space="preserve"> 202 - 9 - 58.9</v>
      </c>
      <c r="K114" s="11" t="str">
        <f>HorType(C114,HOR_ARRAY)</f>
        <v>Clothoid</v>
      </c>
      <c r="L114" s="11" t="str">
        <f>VerType(C114,VER_ARRAY)</f>
        <v>Linear</v>
      </c>
    </row>
    <row r="115" spans="2:12" ht="30" customHeight="1">
      <c r="B115" s="9">
        <v>111</v>
      </c>
      <c r="C115" s="16">
        <v>9950</v>
      </c>
      <c r="D115" s="17">
        <v>0</v>
      </c>
      <c r="E115" s="17">
        <v>0</v>
      </c>
      <c r="F115" s="11">
        <f>Hor(C115,D115,HOR_ARRAY,"E")</f>
        <v>661742.94074086403</v>
      </c>
      <c r="G115" s="11">
        <f>Hor(C115,D115,HOR_ARRAY,"N")</f>
        <v>1518878.7578750257</v>
      </c>
      <c r="H115" s="11">
        <f>ver(C115,VER_ARRAY)+E115</f>
        <v>79.092614603150636</v>
      </c>
      <c r="I115" s="11">
        <f>Hor(C115,D115,HOR_ARRAY,"W")</f>
        <v>200.66131477217917</v>
      </c>
      <c r="J115" s="12" t="str">
        <f>DegtoDMSStr2(Hor(C115,D115,HOR_ARRAY,"W"))</f>
        <v xml:space="preserve"> 200 - 39 - 40.73</v>
      </c>
      <c r="K115" s="11" t="str">
        <f>HorType(C115,HOR_ARRAY)</f>
        <v>Circular</v>
      </c>
      <c r="L115" s="11" t="str">
        <f>VerType(C115,VER_ARRAY)</f>
        <v>Parabola</v>
      </c>
    </row>
    <row r="116" spans="2:12" ht="30" customHeight="1">
      <c r="B116" s="9">
        <v>112</v>
      </c>
      <c r="C116" s="16">
        <v>9975</v>
      </c>
      <c r="D116" s="17">
        <v>0</v>
      </c>
      <c r="E116" s="17">
        <v>0</v>
      </c>
      <c r="F116" s="11">
        <f>Hor(C116,D116,HOR_ARRAY,"E")</f>
        <v>661734.47208441515</v>
      </c>
      <c r="G116" s="11">
        <f>Hor(C116,D116,HOR_ARRAY,"N")</f>
        <v>1518855.2369177926</v>
      </c>
      <c r="H116" s="11">
        <f>ver(C116,VER_ARRAY)+E116</f>
        <v>79.765761302115521</v>
      </c>
      <c r="I116" s="11">
        <f>Hor(C116,D116,HOR_ARRAY,"W")</f>
        <v>198.97296305894886</v>
      </c>
      <c r="J116" s="12" t="str">
        <f>DegtoDMSStr2(Hor(C116,D116,HOR_ARRAY,"W"))</f>
        <v xml:space="preserve"> 198 - 58 - 22.67</v>
      </c>
      <c r="K116" s="11" t="str">
        <f>HorType(C116,HOR_ARRAY)</f>
        <v>Clothoid</v>
      </c>
      <c r="L116" s="11" t="str">
        <f>VerType(C116,VER_ARRAY)</f>
        <v>Parabola</v>
      </c>
    </row>
    <row r="117" spans="2:12" ht="30" customHeight="1">
      <c r="B117" s="9">
        <v>113</v>
      </c>
      <c r="C117" s="16">
        <v>10000</v>
      </c>
      <c r="D117" s="17">
        <v>0</v>
      </c>
      <c r="E117" s="17">
        <v>0</v>
      </c>
      <c r="F117" s="11">
        <f>Hor(C117,D117,HOR_ARRAY,"E")</f>
        <v>661726.53380822029</v>
      </c>
      <c r="G117" s="11">
        <f>Hor(C117,D117,HOR_ARRAY,"N")</f>
        <v>1518831.5308865339</v>
      </c>
      <c r="H117" s="11">
        <f>ver(C117,VER_ARRAY)+E117</f>
        <v>80.233908098848346</v>
      </c>
      <c r="I117" s="11">
        <f>Hor(C117,D117,HOR_ARRAY,"W")</f>
        <v>198.29378407097386</v>
      </c>
      <c r="J117" s="12" t="str">
        <f>DegtoDMSStr2(Hor(C117,D117,HOR_ARRAY,"W"))</f>
        <v xml:space="preserve"> 198 - 17 - 37.62</v>
      </c>
      <c r="K117" s="11" t="str">
        <f>HorType(C117,HOR_ARRAY)</f>
        <v>Linear</v>
      </c>
      <c r="L117" s="11" t="str">
        <f>VerType(C117,VER_ARRAY)</f>
        <v>Parabola</v>
      </c>
    </row>
    <row r="118" spans="2:12" ht="30" customHeight="1">
      <c r="B118" s="9">
        <v>114</v>
      </c>
      <c r="C118" s="16">
        <v>10025</v>
      </c>
      <c r="D118" s="17">
        <v>0</v>
      </c>
      <c r="E118" s="17">
        <v>0</v>
      </c>
      <c r="F118" s="11">
        <f>Hor(C118,D118,HOR_ARRAY,"E")</f>
        <v>661718.68656962318</v>
      </c>
      <c r="G118" s="11">
        <f>Hor(C118,D118,HOR_ARRAY,"N")</f>
        <v>1518807.7943988745</v>
      </c>
      <c r="H118" s="11">
        <f>ver(C118,VER_ARRAY)+E118</f>
        <v>80.49705499334911</v>
      </c>
      <c r="I118" s="11">
        <f>Hor(C118,D118,HOR_ARRAY,"W")</f>
        <v>198.29378407097386</v>
      </c>
      <c r="J118" s="12" t="str">
        <f>DegtoDMSStr2(Hor(C118,D118,HOR_ARRAY,"W"))</f>
        <v xml:space="preserve"> 198 - 17 - 37.62</v>
      </c>
      <c r="K118" s="11" t="str">
        <f>HorType(C118,HOR_ARRAY)</f>
        <v>Linear</v>
      </c>
      <c r="L118" s="11" t="str">
        <f>VerType(C118,VER_ARRAY)</f>
        <v>Parabola</v>
      </c>
    </row>
    <row r="119" spans="2:12" ht="30" customHeight="1">
      <c r="B119" s="9">
        <v>115</v>
      </c>
      <c r="C119" s="16">
        <v>10050</v>
      </c>
      <c r="D119" s="17">
        <v>0</v>
      </c>
      <c r="E119" s="17">
        <v>0</v>
      </c>
      <c r="F119" s="11">
        <f>Hor(C119,D119,HOR_ARRAY,"E")</f>
        <v>661710.83933102619</v>
      </c>
      <c r="G119" s="11">
        <f>Hor(C119,D119,HOR_ARRAY,"N")</f>
        <v>1518784.0579112154</v>
      </c>
      <c r="H119" s="11">
        <f>ver(C119,VER_ARRAY)+E119</f>
        <v>80.56</v>
      </c>
      <c r="I119" s="11">
        <f>Hor(C119,D119,HOR_ARRAY,"W")</f>
        <v>198.29378407097386</v>
      </c>
      <c r="J119" s="12" t="str">
        <f>DegtoDMSStr2(Hor(C119,D119,HOR_ARRAY,"W"))</f>
        <v xml:space="preserve"> 198 - 17 - 37.62</v>
      </c>
      <c r="K119" s="11" t="str">
        <f>HorType(C119,HOR_ARRAY)</f>
        <v>Linear</v>
      </c>
      <c r="L119" s="11" t="str">
        <f>VerType(C119,VER_ARRAY)</f>
        <v>Linear</v>
      </c>
    </row>
    <row r="120" spans="2:12" ht="30" customHeight="1">
      <c r="B120" s="9">
        <v>116</v>
      </c>
      <c r="C120" s="16">
        <v>10075</v>
      </c>
      <c r="D120" s="17">
        <v>0</v>
      </c>
      <c r="E120" s="17">
        <v>0</v>
      </c>
      <c r="F120" s="11">
        <f>Hor(C120,D120,HOR_ARRAY,"E")</f>
        <v>661702.99209242908</v>
      </c>
      <c r="G120" s="11">
        <f>Hor(C120,D120,HOR_ARRAY,"N")</f>
        <v>1518760.321423556</v>
      </c>
      <c r="H120" s="11">
        <f>ver(C120,VER_ARRAY)+E120</f>
        <v>80.56</v>
      </c>
      <c r="I120" s="11">
        <f>Hor(C120,D120,HOR_ARRAY,"W")</f>
        <v>198.29378407097386</v>
      </c>
      <c r="J120" s="12" t="str">
        <f>DegtoDMSStr2(Hor(C120,D120,HOR_ARRAY,"W"))</f>
        <v xml:space="preserve"> 198 - 17 - 37.62</v>
      </c>
      <c r="K120" s="11" t="str">
        <f>HorType(C120,HOR_ARRAY)</f>
        <v>Linear</v>
      </c>
      <c r="L120" s="11" t="str">
        <f>VerType(C120,VER_ARRAY)</f>
        <v>Linear</v>
      </c>
    </row>
    <row r="121" spans="2:12" ht="30" customHeight="1">
      <c r="B121" s="9">
        <v>117</v>
      </c>
      <c r="C121" s="16">
        <v>10100</v>
      </c>
      <c r="D121" s="17">
        <v>0</v>
      </c>
      <c r="E121" s="17">
        <v>0</v>
      </c>
      <c r="F121" s="11">
        <f>Hor(C121,D121,HOR_ARRAY,"E")</f>
        <v>661695.14485383197</v>
      </c>
      <c r="G121" s="11">
        <f>Hor(C121,D121,HOR_ARRAY,"N")</f>
        <v>1518736.5849358966</v>
      </c>
      <c r="H121" s="11">
        <f>ver(C121,VER_ARRAY)+E121</f>
        <v>80.56</v>
      </c>
      <c r="I121" s="11">
        <f>Hor(C121,D121,HOR_ARRAY,"W")</f>
        <v>198.29378407097386</v>
      </c>
      <c r="J121" s="12" t="str">
        <f>DegtoDMSStr2(Hor(C121,D121,HOR_ARRAY,"W"))</f>
        <v xml:space="preserve"> 198 - 17 - 37.62</v>
      </c>
      <c r="K121" s="11" t="str">
        <f>HorType(C121,HOR_ARRAY)</f>
        <v>Linear</v>
      </c>
      <c r="L121" s="11" t="str">
        <f>VerType(C121,VER_ARRAY)</f>
        <v>Linear</v>
      </c>
    </row>
    <row r="122" spans="2:12" ht="30" customHeight="1">
      <c r="B122" s="9">
        <v>118</v>
      </c>
      <c r="C122" s="16">
        <v>10125</v>
      </c>
      <c r="D122" s="17">
        <v>0</v>
      </c>
      <c r="E122" s="17">
        <v>0</v>
      </c>
      <c r="F122" s="11">
        <f>Hor(C122,D122,HOR_ARRAY,"E")</f>
        <v>661687.29761523497</v>
      </c>
      <c r="G122" s="11">
        <f>Hor(C122,D122,HOR_ARRAY,"N")</f>
        <v>1518712.8484482374</v>
      </c>
      <c r="H122" s="11">
        <f>ver(C122,VER_ARRAY)+E122</f>
        <v>80.56</v>
      </c>
      <c r="I122" s="11">
        <f>Hor(C122,D122,HOR_ARRAY,"W")</f>
        <v>198.29378407097386</v>
      </c>
      <c r="J122" s="12" t="str">
        <f>DegtoDMSStr2(Hor(C122,D122,HOR_ARRAY,"W"))</f>
        <v xml:space="preserve"> 198 - 17 - 37.62</v>
      </c>
      <c r="K122" s="11" t="str">
        <f>HorType(C122,HOR_ARRAY)</f>
        <v>Linear</v>
      </c>
      <c r="L122" s="11" t="str">
        <f>VerType(C122,VER_ARRAY)</f>
        <v>Linear</v>
      </c>
    </row>
    <row r="123" spans="2:12" ht="30" customHeight="1">
      <c r="B123" s="9">
        <v>119</v>
      </c>
      <c r="C123" s="16">
        <v>10150</v>
      </c>
      <c r="D123" s="17">
        <v>0</v>
      </c>
      <c r="E123" s="17">
        <v>0</v>
      </c>
      <c r="F123" s="11">
        <f>Hor(C123,D123,HOR_ARRAY,"E")</f>
        <v>661679.45037663786</v>
      </c>
      <c r="G123" s="11">
        <f>Hor(C123,D123,HOR_ARRAY,"N")</f>
        <v>1518689.111960578</v>
      </c>
      <c r="H123" s="11">
        <f>ver(C123,VER_ARRAY)+E123</f>
        <v>80.56</v>
      </c>
      <c r="I123" s="11">
        <f>Hor(C123,D123,HOR_ARRAY,"W")</f>
        <v>198.29378407097386</v>
      </c>
      <c r="J123" s="12" t="str">
        <f>DegtoDMSStr2(Hor(C123,D123,HOR_ARRAY,"W"))</f>
        <v xml:space="preserve"> 198 - 17 - 37.62</v>
      </c>
      <c r="K123" s="11" t="str">
        <f>HorType(C123,HOR_ARRAY)</f>
        <v>Linear</v>
      </c>
      <c r="L123" s="11" t="str">
        <f>VerType(C123,VER_ARRAY)</f>
        <v>Linear</v>
      </c>
    </row>
    <row r="124" spans="2:12" ht="30" customHeight="1">
      <c r="B124" s="9">
        <v>120</v>
      </c>
      <c r="C124" s="16">
        <v>10175</v>
      </c>
      <c r="D124" s="17">
        <v>0</v>
      </c>
      <c r="E124" s="17">
        <v>0</v>
      </c>
      <c r="F124" s="11">
        <f>Hor(C124,D124,HOR_ARRAY,"E")</f>
        <v>661671.60313804075</v>
      </c>
      <c r="G124" s="11">
        <f>Hor(C124,D124,HOR_ARRAY,"N")</f>
        <v>1518665.3754729186</v>
      </c>
      <c r="H124" s="11">
        <f>ver(C124,VER_ARRAY)+E124</f>
        <v>80.56</v>
      </c>
      <c r="I124" s="11">
        <f>Hor(C124,D124,HOR_ARRAY,"W")</f>
        <v>198.29378407097386</v>
      </c>
      <c r="J124" s="12" t="str">
        <f>DegtoDMSStr2(Hor(C124,D124,HOR_ARRAY,"W"))</f>
        <v xml:space="preserve"> 198 - 17 - 37.62</v>
      </c>
      <c r="K124" s="11" t="str">
        <f>HorType(C124,HOR_ARRAY)</f>
        <v>Linear</v>
      </c>
      <c r="L124" s="11" t="str">
        <f>VerType(C124,VER_ARRAY)</f>
        <v>Linear</v>
      </c>
    </row>
    <row r="125" spans="2:12" ht="30" customHeight="1">
      <c r="B125" s="9">
        <v>121</v>
      </c>
      <c r="C125" s="16">
        <v>10200</v>
      </c>
      <c r="D125" s="17">
        <v>0</v>
      </c>
      <c r="E125" s="17">
        <v>0</v>
      </c>
      <c r="F125" s="11">
        <f>Hor(C125,D125,HOR_ARRAY,"E")</f>
        <v>661663.75589944364</v>
      </c>
      <c r="G125" s="11">
        <f>Hor(C125,D125,HOR_ARRAY,"N")</f>
        <v>1518641.6389852595</v>
      </c>
      <c r="H125" s="11">
        <f>ver(C125,VER_ARRAY)+E125</f>
        <v>80.56</v>
      </c>
      <c r="I125" s="11">
        <f>Hor(C125,D125,HOR_ARRAY,"W")</f>
        <v>198.29378407097386</v>
      </c>
      <c r="J125" s="12" t="str">
        <f>DegtoDMSStr2(Hor(C125,D125,HOR_ARRAY,"W"))</f>
        <v xml:space="preserve"> 198 - 17 - 37.62</v>
      </c>
      <c r="K125" s="11" t="str">
        <f>HorType(C125,HOR_ARRAY)</f>
        <v>Linear</v>
      </c>
      <c r="L125" s="11" t="str">
        <f>VerType(C125,VER_ARRAY)</f>
        <v>Linear</v>
      </c>
    </row>
    <row r="126" spans="2:12" ht="30" customHeight="1">
      <c r="B126" s="9">
        <v>122</v>
      </c>
      <c r="C126" s="16">
        <v>10225</v>
      </c>
      <c r="D126" s="17">
        <v>0</v>
      </c>
      <c r="E126" s="17">
        <v>0</v>
      </c>
      <c r="F126" s="11">
        <f>Hor(C126,D126,HOR_ARRAY,"E")</f>
        <v>661655.90866084665</v>
      </c>
      <c r="G126" s="11">
        <f>Hor(C126,D126,HOR_ARRAY,"N")</f>
        <v>1518617.9024976001</v>
      </c>
      <c r="H126" s="11">
        <f>ver(C126,VER_ARRAY)+E126</f>
        <v>80.56</v>
      </c>
      <c r="I126" s="11">
        <f>Hor(C126,D126,HOR_ARRAY,"W")</f>
        <v>198.29378407097386</v>
      </c>
      <c r="J126" s="12" t="str">
        <f>DegtoDMSStr2(Hor(C126,D126,HOR_ARRAY,"W"))</f>
        <v xml:space="preserve"> 198 - 17 - 37.62</v>
      </c>
      <c r="K126" s="11" t="str">
        <f>HorType(C126,HOR_ARRAY)</f>
        <v>Linear</v>
      </c>
      <c r="L126" s="11" t="str">
        <f>VerType(C126,VER_ARRAY)</f>
        <v>Linear</v>
      </c>
    </row>
    <row r="127" spans="2:12" ht="30" customHeight="1">
      <c r="B127" s="9">
        <v>123</v>
      </c>
      <c r="C127" s="16">
        <v>10250</v>
      </c>
      <c r="D127" s="17">
        <v>0</v>
      </c>
      <c r="E127" s="17">
        <v>0</v>
      </c>
      <c r="F127" s="11">
        <f>Hor(C127,D127,HOR_ARRAY,"E")</f>
        <v>661648.06142224954</v>
      </c>
      <c r="G127" s="11">
        <f>Hor(C127,D127,HOR_ARRAY,"N")</f>
        <v>1518594.1660099407</v>
      </c>
      <c r="H127" s="11">
        <f>ver(C127,VER_ARRAY)+E127</f>
        <v>80.56</v>
      </c>
      <c r="I127" s="11">
        <f>Hor(C127,D127,HOR_ARRAY,"W")</f>
        <v>198.29378407097386</v>
      </c>
      <c r="J127" s="12" t="str">
        <f>DegtoDMSStr2(Hor(C127,D127,HOR_ARRAY,"W"))</f>
        <v xml:space="preserve"> 198 - 17 - 37.62</v>
      </c>
      <c r="K127" s="11" t="str">
        <f>HorType(C127,HOR_ARRAY)</f>
        <v>Linear</v>
      </c>
      <c r="L127" s="11" t="str">
        <f>VerType(C127,VER_ARRAY)</f>
        <v>Linear</v>
      </c>
    </row>
    <row r="128" spans="2:12" ht="30" customHeight="1">
      <c r="B128" s="9">
        <v>124</v>
      </c>
      <c r="C128" s="16">
        <v>10275</v>
      </c>
      <c r="D128" s="17">
        <v>0</v>
      </c>
      <c r="E128" s="17">
        <v>0</v>
      </c>
      <c r="F128" s="11">
        <f>Hor(C128,D128,HOR_ARRAY,"E")</f>
        <v>661640.21418365242</v>
      </c>
      <c r="G128" s="11">
        <f>Hor(C128,D128,HOR_ARRAY,"N")</f>
        <v>1518570.4295222815</v>
      </c>
      <c r="H128" s="11">
        <f>ver(C128,VER_ARRAY)+E128</f>
        <v>80.56</v>
      </c>
      <c r="I128" s="11">
        <f>Hor(C128,D128,HOR_ARRAY,"W")</f>
        <v>198.29378407097386</v>
      </c>
      <c r="J128" s="12" t="str">
        <f>DegtoDMSStr2(Hor(C128,D128,HOR_ARRAY,"W"))</f>
        <v xml:space="preserve"> 198 - 17 - 37.62</v>
      </c>
      <c r="K128" s="11" t="str">
        <f>HorType(C128,HOR_ARRAY)</f>
        <v>Linear</v>
      </c>
      <c r="L128" s="11" t="str">
        <f>VerType(C128,VER_ARRAY)</f>
        <v>Linear</v>
      </c>
    </row>
    <row r="129" spans="2:12" ht="30" customHeight="1">
      <c r="B129" s="9">
        <v>125</v>
      </c>
      <c r="C129" s="16">
        <v>10300</v>
      </c>
      <c r="D129" s="17">
        <v>0</v>
      </c>
      <c r="E129" s="17">
        <v>0</v>
      </c>
      <c r="F129" s="11">
        <f>Hor(C129,D129,HOR_ARRAY,"E")</f>
        <v>661632.36694505543</v>
      </c>
      <c r="G129" s="11">
        <f>Hor(C129,D129,HOR_ARRAY,"N")</f>
        <v>1518546.6930346221</v>
      </c>
      <c r="H129" s="11">
        <f>ver(C129,VER_ARRAY)+E129</f>
        <v>80.56</v>
      </c>
      <c r="I129" s="11">
        <f>Hor(C129,D129,HOR_ARRAY,"W")</f>
        <v>198.29378407097386</v>
      </c>
      <c r="J129" s="12" t="str">
        <f>DegtoDMSStr2(Hor(C129,D129,HOR_ARRAY,"W"))</f>
        <v xml:space="preserve"> 198 - 17 - 37.62</v>
      </c>
      <c r="K129" s="11" t="str">
        <f>HorType(C129,HOR_ARRAY)</f>
        <v>Linear</v>
      </c>
      <c r="L129" s="11" t="str">
        <f>VerType(C129,VER_ARRAY)</f>
        <v>Linear</v>
      </c>
    </row>
    <row r="130" spans="2:12" ht="30" customHeight="1">
      <c r="B130" s="9">
        <v>126</v>
      </c>
      <c r="C130" s="16">
        <v>10324.3389999997</v>
      </c>
      <c r="D130" s="17">
        <v>0</v>
      </c>
      <c r="E130" s="17">
        <v>0</v>
      </c>
      <c r="F130" s="11">
        <f>Hor(C130,D130,HOR_ARRAY,"E")</f>
        <v>661624.7271874469</v>
      </c>
      <c r="G130" s="11">
        <f>Hor(C130,D130,HOR_ARRAY,"N")</f>
        <v>1518523.5841396968</v>
      </c>
      <c r="H130" s="11">
        <f>ver(C130,VER_ARRAY)+E130</f>
        <v>80.56</v>
      </c>
      <c r="I130" s="11">
        <f>Hor(C130,D130,HOR_ARRAY,"W")</f>
        <v>198.29378407097386</v>
      </c>
      <c r="J130" s="12" t="str">
        <f>DegtoDMSStr2(Hor(C130,D130,HOR_ARRAY,"W"))</f>
        <v xml:space="preserve"> 198 - 17 - 37.62</v>
      </c>
      <c r="K130" s="11" t="str">
        <f>HorType(C130,HOR_ARRAY)</f>
        <v>Linear</v>
      </c>
      <c r="L130" s="11" t="str">
        <f>VerType(C130,VER_ARRAY)</f>
        <v>Linear</v>
      </c>
    </row>
    <row r="131" spans="2:12" ht="30" customHeight="1">
      <c r="K131" s="11"/>
    </row>
    <row r="132" spans="2:12" ht="30" customHeight="1">
      <c r="K132" s="11"/>
    </row>
    <row r="133" spans="2:12" ht="30" customHeight="1">
      <c r="K133" s="11"/>
    </row>
    <row r="134" spans="2:12" ht="30" customHeight="1">
      <c r="K134" s="11"/>
    </row>
    <row r="135" spans="2:12" ht="30" customHeight="1">
      <c r="K135" s="11"/>
    </row>
    <row r="136" spans="2:12" ht="30" customHeight="1">
      <c r="K136" s="11"/>
    </row>
    <row r="137" spans="2:12" ht="30" customHeight="1">
      <c r="K137" s="11"/>
    </row>
    <row r="138" spans="2:12" ht="30" customHeight="1">
      <c r="K138" s="11"/>
    </row>
    <row r="139" spans="2:12" ht="30" customHeight="1">
      <c r="K139" s="11"/>
    </row>
    <row r="140" spans="2:12" ht="30" customHeight="1">
      <c r="K140" s="11"/>
    </row>
    <row r="141" spans="2:12" ht="30" customHeight="1">
      <c r="K141" s="11"/>
    </row>
    <row r="142" spans="2:12" ht="30" customHeight="1">
      <c r="K142" s="11"/>
    </row>
    <row r="143" spans="2:12" ht="30" customHeight="1">
      <c r="K143" s="11"/>
    </row>
    <row r="144" spans="2:12" ht="30" customHeight="1">
      <c r="K144" s="11"/>
    </row>
    <row r="145" spans="11:11" ht="30" customHeight="1">
      <c r="K145" s="11"/>
    </row>
    <row r="146" spans="11:11" ht="30" customHeight="1">
      <c r="K146" s="11"/>
    </row>
    <row r="147" spans="11:11" ht="30" customHeight="1">
      <c r="K147" s="11"/>
    </row>
    <row r="148" spans="11:11" ht="30" customHeight="1">
      <c r="K148" s="11"/>
    </row>
    <row r="149" spans="11:11" ht="30" customHeight="1">
      <c r="K149" s="11"/>
    </row>
    <row r="150" spans="11:11" ht="30" customHeight="1">
      <c r="K150" s="11"/>
    </row>
    <row r="151" spans="11:11" ht="30" customHeight="1">
      <c r="K151" s="11"/>
    </row>
    <row r="152" spans="11:11" ht="30" customHeight="1">
      <c r="K152" s="11"/>
    </row>
    <row r="153" spans="11:11" ht="30" customHeight="1">
      <c r="K153" s="11"/>
    </row>
    <row r="154" spans="11:11" ht="30" customHeight="1">
      <c r="K154" s="11"/>
    </row>
    <row r="155" spans="11:11" ht="30" customHeight="1">
      <c r="K155" s="11"/>
    </row>
    <row r="156" spans="11:11" ht="30" customHeight="1">
      <c r="K156" s="11"/>
    </row>
    <row r="157" spans="11:11" ht="30" customHeight="1">
      <c r="K157" s="11"/>
    </row>
    <row r="158" spans="11:11" ht="30" customHeight="1">
      <c r="K158" s="11"/>
    </row>
    <row r="159" spans="11:11" ht="30" customHeight="1">
      <c r="K159" s="11"/>
    </row>
    <row r="160" spans="11:11" ht="30" customHeight="1">
      <c r="K160" s="11"/>
    </row>
    <row r="161" spans="11:11" ht="30" customHeight="1">
      <c r="K161" s="11"/>
    </row>
    <row r="162" spans="11:11" ht="30" customHeight="1">
      <c r="K162" s="11"/>
    </row>
  </sheetData>
  <mergeCells count="3">
    <mergeCell ref="K2:L2"/>
    <mergeCell ref="F2:J2"/>
    <mergeCell ref="I3:J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7F8A-629F-4A02-9B2E-84393A43AE41}">
  <sheetPr codeName="Sheet7">
    <tabColor rgb="FF00B050"/>
  </sheetPr>
  <dimension ref="B1:N162"/>
  <sheetViews>
    <sheetView zoomScale="70" zoomScaleNormal="70" workbookViewId="0">
      <selection activeCell="N10" sqref="N10"/>
    </sheetView>
  </sheetViews>
  <sheetFormatPr defaultColWidth="15.77734375" defaultRowHeight="30" customHeight="1"/>
  <cols>
    <col min="1" max="1" width="6.33203125" style="9" customWidth="1"/>
    <col min="2" max="2" width="11.6640625" style="9" customWidth="1"/>
    <col min="3" max="3" width="25.77734375" style="10" customWidth="1"/>
    <col min="4" max="8" width="25.77734375" style="11" customWidth="1"/>
    <col min="9" max="9" width="15.77734375" style="11" customWidth="1"/>
    <col min="10" max="10" width="20.77734375" style="12" customWidth="1"/>
    <col min="11" max="11" width="15.77734375" style="9" customWidth="1"/>
    <col min="12" max="12" width="15.77734375" style="11" customWidth="1"/>
    <col min="13" max="14" width="25.77734375" style="11" customWidth="1"/>
    <col min="15" max="16384" width="15.77734375" style="9"/>
  </cols>
  <sheetData>
    <row r="1" spans="2:14" ht="30" customHeight="1">
      <c r="C1" s="9"/>
      <c r="D1" s="9"/>
      <c r="E1" s="9"/>
      <c r="F1" s="9"/>
      <c r="G1" s="9"/>
      <c r="H1" s="9"/>
      <c r="I1" s="9"/>
      <c r="J1" s="9"/>
      <c r="L1" s="9"/>
      <c r="M1" s="9"/>
      <c r="N1" s="9"/>
    </row>
    <row r="2" spans="2:14" ht="30" customHeight="1">
      <c r="B2" s="3"/>
      <c r="C2" s="3"/>
      <c r="D2" s="3"/>
      <c r="E2" s="3"/>
      <c r="F2" s="14" t="s">
        <v>142</v>
      </c>
      <c r="G2" s="14"/>
      <c r="H2" s="14"/>
      <c r="I2" s="14"/>
      <c r="J2" s="14"/>
      <c r="K2" s="14" t="s">
        <v>143</v>
      </c>
      <c r="L2" s="14"/>
      <c r="M2" s="3"/>
      <c r="N2" s="3"/>
    </row>
    <row r="3" spans="2:14" ht="30" customHeight="1">
      <c r="B3" s="3" t="s">
        <v>140</v>
      </c>
      <c r="C3" s="3" t="s">
        <v>141</v>
      </c>
      <c r="D3" s="3" t="s">
        <v>152</v>
      </c>
      <c r="E3" s="3" t="s">
        <v>153</v>
      </c>
      <c r="F3" s="3" t="s">
        <v>144</v>
      </c>
      <c r="G3" s="3" t="s">
        <v>145</v>
      </c>
      <c r="H3" s="3" t="s">
        <v>146</v>
      </c>
      <c r="I3" s="14" t="s">
        <v>147</v>
      </c>
      <c r="J3" s="14"/>
      <c r="K3" s="3" t="s">
        <v>149</v>
      </c>
      <c r="L3" s="3" t="s">
        <v>150</v>
      </c>
      <c r="M3" s="3" t="s">
        <v>151</v>
      </c>
      <c r="N3" s="3"/>
    </row>
    <row r="4" spans="2:14" ht="30" customHeight="1">
      <c r="B4" s="3"/>
      <c r="C4" s="3" t="s">
        <v>148</v>
      </c>
      <c r="D4" s="3" t="s">
        <v>148</v>
      </c>
      <c r="E4" s="3" t="s">
        <v>148</v>
      </c>
      <c r="F4" s="3" t="s">
        <v>148</v>
      </c>
      <c r="G4" s="3" t="s">
        <v>148</v>
      </c>
      <c r="H4" s="3" t="s">
        <v>148</v>
      </c>
      <c r="I4" s="3" t="s">
        <v>155</v>
      </c>
      <c r="J4" s="13" t="s">
        <v>154</v>
      </c>
      <c r="K4" s="3"/>
      <c r="L4" s="9"/>
      <c r="M4" s="9"/>
      <c r="N4" s="9"/>
    </row>
    <row r="5" spans="2:14" ht="30" customHeight="1">
      <c r="B5" s="9">
        <v>1</v>
      </c>
      <c r="C5" s="18">
        <f>HorP(F5,G5,HOR_ARRAY,"C",0)</f>
        <v>7202.8339999999998</v>
      </c>
      <c r="D5" s="19">
        <f>HorP(F5,G5,HOR_ARRAY,"O",0)</f>
        <v>0</v>
      </c>
      <c r="E5" s="19">
        <f>H5-ver(C5,VER_ARRAY)</f>
        <v>0</v>
      </c>
      <c r="F5" s="17">
        <v>662670.304</v>
      </c>
      <c r="G5" s="17">
        <v>1521355.848</v>
      </c>
      <c r="H5" s="17">
        <v>67.2</v>
      </c>
      <c r="I5" s="11">
        <f>Hor(C5,D5,HOR_ARRAY,"W")</f>
        <v>150.92629300070647</v>
      </c>
      <c r="J5" s="12" t="str">
        <f>DegtoDMSStr2(I5)</f>
        <v xml:space="preserve"> 150 - 55 - 34.65</v>
      </c>
      <c r="K5" s="11" t="str">
        <f>HorType(C5,HOR_ARRAY)</f>
        <v>Linear</v>
      </c>
      <c r="L5" s="11" t="str">
        <f>VerType(C5,VER_ARRAY)</f>
        <v>Linear</v>
      </c>
      <c r="M5" s="11" t="s">
        <v>16</v>
      </c>
    </row>
    <row r="6" spans="2:14" ht="30" customHeight="1">
      <c r="B6" s="9">
        <v>2</v>
      </c>
      <c r="C6" s="18">
        <f>HorP(F6,G6,HOR_ARRAY,"C",0)</f>
        <v>7224.9999999999836</v>
      </c>
      <c r="D6" s="19">
        <f>HorP(F6,G6,HOR_ARRAY,"O",0)</f>
        <v>0</v>
      </c>
      <c r="E6" s="19">
        <f>H6-ver(C6,VER_ARRAY)</f>
        <v>0</v>
      </c>
      <c r="F6" s="17">
        <v>662681.07521950733</v>
      </c>
      <c r="G6" s="17">
        <v>1521336.4750191679</v>
      </c>
      <c r="H6" s="17">
        <v>67.2</v>
      </c>
      <c r="I6" s="11">
        <f>Hor(C6,D6,HOR_ARRAY,"W")</f>
        <v>150.92629300070647</v>
      </c>
      <c r="J6" s="12" t="str">
        <f>DegtoDMSStr2(Hor(C6,D6,HOR_ARRAY,"W"))</f>
        <v xml:space="preserve"> 150 - 55 - 34.65</v>
      </c>
      <c r="K6" s="11" t="str">
        <f>HorType(C6,HOR_ARRAY)</f>
        <v>Linear</v>
      </c>
      <c r="L6" s="11" t="str">
        <f>VerType(C6,VER_ARRAY)</f>
        <v>Linear</v>
      </c>
      <c r="N6" s="12"/>
    </row>
    <row r="7" spans="2:14" ht="30" customHeight="1">
      <c r="B7" s="9">
        <v>3</v>
      </c>
      <c r="C7" s="18">
        <f>HorP(F7,G7,HOR_ARRAY,"C",0)</f>
        <v>7250.0000000000682</v>
      </c>
      <c r="D7" s="19">
        <f>HorP(F7,G7,HOR_ARRAY,"O",0)</f>
        <v>0</v>
      </c>
      <c r="E7" s="19">
        <f>H7-ver(C7,VER_ARRAY)</f>
        <v>-3.5527136788005009E-13</v>
      </c>
      <c r="F7" s="17">
        <v>662693.22357679694</v>
      </c>
      <c r="G7" s="17">
        <v>1521314.6251355258</v>
      </c>
      <c r="H7" s="17">
        <v>67.237225156474338</v>
      </c>
      <c r="I7" s="11">
        <f>Hor(C7,D7,HOR_ARRAY,"W")</f>
        <v>150.92629300070647</v>
      </c>
      <c r="J7" s="12" t="str">
        <f>DegtoDMSStr2(Hor(C7,D7,HOR_ARRAY,"W"))</f>
        <v xml:space="preserve"> 150 - 55 - 34.65</v>
      </c>
      <c r="K7" s="11" t="str">
        <f>HorType(C7,HOR_ARRAY)</f>
        <v>Linear</v>
      </c>
      <c r="L7" s="11" t="str">
        <f>VerType(C7,VER_ARRAY)</f>
        <v>Parabola</v>
      </c>
      <c r="N7" s="12"/>
    </row>
    <row r="8" spans="2:14" ht="30" customHeight="1">
      <c r="B8" s="9">
        <v>4</v>
      </c>
      <c r="C8" s="18">
        <f>HorP(F8,G8,HOR_ARRAY,"C",0)</f>
        <v>7275.0000000000055</v>
      </c>
      <c r="D8" s="19">
        <f>HorP(F8,G8,HOR_ARRAY,"O",0)</f>
        <v>0</v>
      </c>
      <c r="E8" s="19">
        <f>H8-ver(C8,VER_ARRAY)</f>
        <v>0</v>
      </c>
      <c r="F8" s="17">
        <v>662705.37193408655</v>
      </c>
      <c r="G8" s="17">
        <v>1521292.775251884</v>
      </c>
      <c r="H8" s="17">
        <v>67.474779848946369</v>
      </c>
      <c r="I8" s="11">
        <f>Hor(C8,D8,HOR_ARRAY,"W")</f>
        <v>150.92629300070647</v>
      </c>
      <c r="J8" s="12" t="str">
        <f>DegtoDMSStr2(Hor(C8,D8,HOR_ARRAY,"W"))</f>
        <v xml:space="preserve"> 150 - 55 - 34.65</v>
      </c>
      <c r="K8" s="11" t="str">
        <f>HorType(C8,HOR_ARRAY)</f>
        <v>Linear</v>
      </c>
      <c r="L8" s="11" t="str">
        <f>VerType(C8,VER_ARRAY)</f>
        <v>Parabola</v>
      </c>
      <c r="N8" s="12"/>
    </row>
    <row r="9" spans="2:14" ht="30" customHeight="1">
      <c r="B9" s="9">
        <v>5</v>
      </c>
      <c r="C9" s="18">
        <f>HorP(F9,G9,HOR_ARRAY,"C",0)</f>
        <v>7299.9999999998772</v>
      </c>
      <c r="D9" s="19">
        <f>HorP(F9,G9,HOR_ARRAY,"O",0)</f>
        <v>0</v>
      </c>
      <c r="E9" s="19">
        <f>H9-ver(C9,VER_ARRAY)</f>
        <v>2.7853275241795927E-12</v>
      </c>
      <c r="F9" s="17">
        <v>662717.34674047551</v>
      </c>
      <c r="G9" s="17">
        <v>1521270.8309655103</v>
      </c>
      <c r="H9" s="17">
        <v>67.931795956948477</v>
      </c>
      <c r="I9" s="11">
        <f>Hor(C9,D9,HOR_ARRAY,"W")</f>
        <v>152.69220500309828</v>
      </c>
      <c r="J9" s="12" t="str">
        <f>DegtoDMSStr2(Hor(C9,D9,HOR_ARRAY,"W"))</f>
        <v xml:space="preserve"> 152 - 41 - 31.94</v>
      </c>
      <c r="K9" s="11" t="str">
        <f>HorType(C9,HOR_ARRAY)</f>
        <v>Clothoid</v>
      </c>
      <c r="L9" s="11" t="str">
        <f>VerType(C9,VER_ARRAY)</f>
        <v>Parabola</v>
      </c>
    </row>
    <row r="10" spans="2:14" ht="30" customHeight="1">
      <c r="B10" s="9">
        <v>6</v>
      </c>
      <c r="C10" s="18">
        <f>HorP(F10,G10,HOR_ARRAY,"C",0)</f>
        <v>7324.9999999999691</v>
      </c>
      <c r="D10" s="19">
        <f>HorP(F10,G10,HOR_ARRAY,"O",0)</f>
        <v>0</v>
      </c>
      <c r="E10" s="19">
        <f>H10-ver(C10,VER_ARRAY)</f>
        <v>9.6633812063373625E-13</v>
      </c>
      <c r="F10" s="17">
        <v>662727.58921899833</v>
      </c>
      <c r="G10" s="17">
        <v>1521248.0415076627</v>
      </c>
      <c r="H10" s="17">
        <v>68.608273480480648</v>
      </c>
      <c r="I10" s="11">
        <f>Hor(C10,D10,HOR_ARRAY,"W")</f>
        <v>159.30050920735135</v>
      </c>
      <c r="J10" s="12" t="str">
        <f>DegtoDMSStr2(Hor(C10,D10,HOR_ARRAY,"W"))</f>
        <v xml:space="preserve"> 159 - 18 - 1.83</v>
      </c>
      <c r="K10" s="11" t="str">
        <f>HorType(C10,HOR_ARRAY)</f>
        <v>Circular</v>
      </c>
      <c r="L10" s="11" t="str">
        <f>VerType(C10,VER_ARRAY)</f>
        <v>Parabola</v>
      </c>
    </row>
    <row r="11" spans="2:14" ht="30" customHeight="1">
      <c r="B11" s="9">
        <v>7</v>
      </c>
      <c r="C11" s="18">
        <f>HorP(F11,G11,HOR_ARRAY,"C",0)</f>
        <v>7350.0000000001382</v>
      </c>
      <c r="D11" s="19">
        <f>HorP(F11,G11,HOR_ARRAY,"O",0)</f>
        <v>1.1641532182693481E-10</v>
      </c>
      <c r="E11" s="19">
        <f>H11-ver(C11,VER_ARRAY)</f>
        <v>-4.3627323975670151E-12</v>
      </c>
      <c r="F11" s="17">
        <v>662734.94315220695</v>
      </c>
      <c r="G11" s="17">
        <v>1521224.1646090362</v>
      </c>
      <c r="H11" s="17">
        <v>69.398300755943353</v>
      </c>
      <c r="I11" s="11">
        <f>Hor(C11,D11,HOR_ARRAY,"W")</f>
        <v>166.46248144723509</v>
      </c>
      <c r="J11" s="12" t="str">
        <f>DegtoDMSStr2(Hor(C11,D11,HOR_ARRAY,"W"))</f>
        <v xml:space="preserve"> 166 - 27 - 44.93</v>
      </c>
      <c r="K11" s="11" t="str">
        <f>HorType(C11,HOR_ARRAY)</f>
        <v>Circular</v>
      </c>
      <c r="L11" s="11" t="str">
        <f>VerType(C11,VER_ARRAY)</f>
        <v>Linear</v>
      </c>
    </row>
    <row r="12" spans="2:14" ht="30" customHeight="1">
      <c r="B12" s="9">
        <v>8</v>
      </c>
      <c r="C12" s="18">
        <f>HorP(F12,G12,HOR_ARRAY,"C",0)</f>
        <v>7374.9999999999272</v>
      </c>
      <c r="D12" s="19">
        <f>HorP(F12,G12,HOR_ARRAY,"O",0)</f>
        <v>0</v>
      </c>
      <c r="E12" s="19">
        <f>H12-ver(C12,VER_ARRAY)</f>
        <v>2.3021584638627246E-12</v>
      </c>
      <c r="F12" s="17">
        <v>662739.26286161121</v>
      </c>
      <c r="G12" s="17">
        <v>1521199.5571562564</v>
      </c>
      <c r="H12" s="17">
        <v>70.18836185185161</v>
      </c>
      <c r="I12" s="11">
        <f>Hor(C12,D12,HOR_ARRAY,"W")</f>
        <v>173.62445368700989</v>
      </c>
      <c r="J12" s="12" t="str">
        <f>DegtoDMSStr2(Hor(C12,D12,HOR_ARRAY,"W"))</f>
        <v xml:space="preserve"> 173 - 37 - 28.03</v>
      </c>
      <c r="K12" s="11" t="str">
        <f>HorType(C12,HOR_ARRAY)</f>
        <v>Circular</v>
      </c>
      <c r="L12" s="11" t="str">
        <f>VerType(C12,VER_ARRAY)</f>
        <v>Linear</v>
      </c>
    </row>
    <row r="13" spans="2:14" ht="30" customHeight="1">
      <c r="B13" s="9">
        <v>9</v>
      </c>
      <c r="C13" s="18">
        <f>HorP(F13,G13,HOR_ARRAY,"C",0)</f>
        <v>7400.00000000007</v>
      </c>
      <c r="D13" s="19">
        <f>HorP(F13,G13,HOR_ARRAY,"O",0)</f>
        <v>0</v>
      </c>
      <c r="E13" s="19">
        <f>H13-ver(C13,VER_ARRAY)</f>
        <v>-2.2026824808563106E-12</v>
      </c>
      <c r="F13" s="17">
        <v>662740.4809395906</v>
      </c>
      <c r="G13" s="17">
        <v>1521174.6031403933</v>
      </c>
      <c r="H13" s="17">
        <v>70.978422947759867</v>
      </c>
      <c r="I13" s="11">
        <f>Hor(C13,D13,HOR_ARRAY,"W")</f>
        <v>180.78642592688604</v>
      </c>
      <c r="J13" s="12" t="str">
        <f>DegtoDMSStr2(Hor(C13,D13,HOR_ARRAY,"W"))</f>
        <v xml:space="preserve"> 180 - 47 - 11.13</v>
      </c>
      <c r="K13" s="11" t="str">
        <f>HorType(C13,HOR_ARRAY)</f>
        <v>Circular</v>
      </c>
      <c r="L13" s="11" t="str">
        <f>VerType(C13,VER_ARRAY)</f>
        <v>Linear</v>
      </c>
    </row>
    <row r="14" spans="2:14" ht="30" customHeight="1">
      <c r="B14" s="9">
        <v>10</v>
      </c>
      <c r="C14" s="18">
        <f>HorP(F14,G14,HOR_ARRAY,"C",0)</f>
        <v>7425.0000000000964</v>
      </c>
      <c r="D14" s="19">
        <f>HorP(F14,G14,HOR_ARRAY,"O",0)</f>
        <v>0</v>
      </c>
      <c r="E14" s="19">
        <f>H14-ver(C14,VER_ARRAY)</f>
        <v>-3.0411229090532288E-12</v>
      </c>
      <c r="F14" s="17">
        <v>662738.5783784457</v>
      </c>
      <c r="G14" s="17">
        <v>1521149.6919605187</v>
      </c>
      <c r="H14" s="17">
        <v>71.768484043668124</v>
      </c>
      <c r="I14" s="11">
        <f>Hor(C14,D14,HOR_ARRAY,"W")</f>
        <v>187.94839816672885</v>
      </c>
      <c r="J14" s="12" t="str">
        <f>DegtoDMSStr2(Hor(C14,D14,HOR_ARRAY,"W"))</f>
        <v xml:space="preserve"> 187 - 56 - 54.23</v>
      </c>
      <c r="K14" s="11" t="str">
        <f>HorType(C14,HOR_ARRAY)</f>
        <v>Circular</v>
      </c>
      <c r="L14" s="11" t="str">
        <f>VerType(C14,VER_ARRAY)</f>
        <v>Linear</v>
      </c>
    </row>
    <row r="15" spans="2:14" ht="30" customHeight="1">
      <c r="B15" s="9">
        <v>11</v>
      </c>
      <c r="C15" s="18">
        <f>HorP(F15,G15,HOR_ARRAY,"C",0)</f>
        <v>7450.0000000000118</v>
      </c>
      <c r="D15" s="19">
        <f>HorP(F15,G15,HOR_ARRAY,"O",0)</f>
        <v>0</v>
      </c>
      <c r="E15" s="19">
        <f>H15-ver(C15,VER_ARRAY)</f>
        <v>-3.694822225952521E-13</v>
      </c>
      <c r="F15" s="17">
        <v>662733.73196504242</v>
      </c>
      <c r="G15" s="17">
        <v>1521125.1772880487</v>
      </c>
      <c r="H15" s="17">
        <v>72.558545139576381</v>
      </c>
      <c r="I15" s="11">
        <f>Hor(C15,D15,HOR_ARRAY,"W")</f>
        <v>193.63276114508062</v>
      </c>
      <c r="J15" s="12" t="str">
        <f>DegtoDMSStr2(Hor(C15,D15,HOR_ARRAY,"W"))</f>
        <v xml:space="preserve"> 193 - 37 - 57.94</v>
      </c>
      <c r="K15" s="11" t="str">
        <f>HorType(C15,HOR_ARRAY)</f>
        <v>Clothoid</v>
      </c>
      <c r="L15" s="11" t="str">
        <f>VerType(C15,VER_ARRAY)</f>
        <v>Linear</v>
      </c>
    </row>
    <row r="16" spans="2:14" ht="30" customHeight="1">
      <c r="B16" s="9">
        <v>12</v>
      </c>
      <c r="C16" s="18">
        <f>HorP(F16,G16,HOR_ARRAY,"C",0)</f>
        <v>7475.0000000001164</v>
      </c>
      <c r="D16" s="19">
        <f>HorP(F16,G16,HOR_ARRAY,"O",0)</f>
        <v>0</v>
      </c>
      <c r="E16" s="19">
        <f>H16-ver(C16,VER_ARRAY)</f>
        <v>-3.666400516522117E-12</v>
      </c>
      <c r="F16" s="17">
        <v>662727.57975073252</v>
      </c>
      <c r="G16" s="17">
        <v>1521100.946257171</v>
      </c>
      <c r="H16" s="17">
        <v>73.348606235484638</v>
      </c>
      <c r="I16" s="11">
        <f>Hor(C16,D16,HOR_ARRAY,"W")</f>
        <v>194.36788655481212</v>
      </c>
      <c r="J16" s="12" t="str">
        <f>DegtoDMSStr2(Hor(C16,D16,HOR_ARRAY,"W"))</f>
        <v xml:space="preserve"> 194 - 22 - 4.39</v>
      </c>
      <c r="K16" s="11" t="str">
        <f>HorType(C16,HOR_ARRAY)</f>
        <v>Linear</v>
      </c>
      <c r="L16" s="11" t="str">
        <f>VerType(C16,VER_ARRAY)</f>
        <v>Linear</v>
      </c>
    </row>
    <row r="17" spans="2:12" ht="30" customHeight="1">
      <c r="B17" s="9">
        <v>13</v>
      </c>
      <c r="C17" s="18">
        <f>HorP(F17,G17,HOR_ARRAY,"C",0)</f>
        <v>7499.9999999998026</v>
      </c>
      <c r="D17" s="19">
        <f>HorP(F17,G17,HOR_ARRAY,"O",0)</f>
        <v>0</v>
      </c>
      <c r="E17" s="19">
        <f>H17-ver(C17,VER_ARRAY)</f>
        <v>6.2385652199736796E-12</v>
      </c>
      <c r="F17" s="17">
        <v>662721.37635222741</v>
      </c>
      <c r="G17" s="17">
        <v>1521076.7281266437</v>
      </c>
      <c r="H17" s="17">
        <v>74.138667331392895</v>
      </c>
      <c r="I17" s="11">
        <f>Hor(C17,D17,HOR_ARRAY,"W")</f>
        <v>194.35699655518803</v>
      </c>
      <c r="J17" s="12" t="str">
        <f>DegtoDMSStr2(Hor(C17,D17,HOR_ARRAY,"W"))</f>
        <v xml:space="preserve"> 194 - 21 - 25.19</v>
      </c>
      <c r="K17" s="11" t="str">
        <f>HorType(C17,HOR_ARRAY)</f>
        <v>Clothoid</v>
      </c>
      <c r="L17" s="11" t="str">
        <f>VerType(C17,VER_ARRAY)</f>
        <v>Linear</v>
      </c>
    </row>
    <row r="18" spans="2:12" ht="30" customHeight="1">
      <c r="B18" s="9">
        <v>14</v>
      </c>
      <c r="C18" s="18">
        <f>HorP(F18,G18,HOR_ARRAY,"C",0)</f>
        <v>7525.0000000001346</v>
      </c>
      <c r="D18" s="19">
        <f>HorP(F18,G18,HOR_ARRAY,"O",0)</f>
        <v>0</v>
      </c>
      <c r="E18" s="19">
        <f>H18-ver(C18,VER_ARRAY)</f>
        <v>-4.2632564145606011E-12</v>
      </c>
      <c r="F18" s="17">
        <v>662715.24808128539</v>
      </c>
      <c r="G18" s="17">
        <v>1521052.4909422488</v>
      </c>
      <c r="H18" s="17">
        <v>74.928728427301138</v>
      </c>
      <c r="I18" s="11">
        <f>Hor(C18,D18,HOR_ARRAY,"W")</f>
        <v>193.9232596074722</v>
      </c>
      <c r="J18" s="12" t="str">
        <f>DegtoDMSStr2(Hor(C18,D18,HOR_ARRAY,"W"))</f>
        <v xml:space="preserve"> 193 - 55 - 23.73</v>
      </c>
      <c r="K18" s="11" t="str">
        <f>HorType(C18,HOR_ARRAY)</f>
        <v>Circular</v>
      </c>
      <c r="L18" s="11" t="str">
        <f>VerType(C18,VER_ARRAY)</f>
        <v>Linear</v>
      </c>
    </row>
    <row r="19" spans="2:12" ht="30" customHeight="1">
      <c r="B19" s="9">
        <v>15</v>
      </c>
      <c r="C19" s="18">
        <f>HorP(F19,G19,HOR_ARRAY,"C",0)</f>
        <v>7549.9999999999882</v>
      </c>
      <c r="D19" s="19">
        <f>HorP(F19,G19,HOR_ARRAY,"O",0)</f>
        <v>0</v>
      </c>
      <c r="E19" s="19">
        <f>H19-ver(C19,VER_ARRAY)</f>
        <v>3.836930773104541E-13</v>
      </c>
      <c r="F19" s="17">
        <v>662709.37036083976</v>
      </c>
      <c r="G19" s="17">
        <v>1521028.1918533253</v>
      </c>
      <c r="H19" s="17">
        <v>75.718789523209409</v>
      </c>
      <c r="I19" s="11">
        <f>Hor(C19,D19,HOR_ARRAY,"W")</f>
        <v>193.27985447933924</v>
      </c>
      <c r="J19" s="12" t="str">
        <f>DegtoDMSStr2(Hor(C19,D19,HOR_ARRAY,"W"))</f>
        <v xml:space="preserve"> 193 - 16 - 47.48</v>
      </c>
      <c r="K19" s="11" t="str">
        <f>HorType(C19,HOR_ARRAY)</f>
        <v>Clothoid</v>
      </c>
      <c r="L19" s="11" t="str">
        <f>VerType(C19,VER_ARRAY)</f>
        <v>Linear</v>
      </c>
    </row>
    <row r="20" spans="2:12" ht="30" customHeight="1">
      <c r="B20" s="9">
        <v>16</v>
      </c>
      <c r="C20" s="18">
        <f>HorP(F20,G20,HOR_ARRAY,"C",0)</f>
        <v>7575.0000000000464</v>
      </c>
      <c r="D20" s="19">
        <f>HorP(F20,G20,HOR_ARRAY,"O",0)</f>
        <v>0</v>
      </c>
      <c r="E20" s="19">
        <f>H20-ver(C20,VER_ARRAY)</f>
        <v>-1.0516032489249483E-12</v>
      </c>
      <c r="F20" s="17">
        <v>662703.69879645074</v>
      </c>
      <c r="G20" s="17">
        <v>1521003.8437029026</v>
      </c>
      <c r="H20" s="17">
        <v>76.423381082398208</v>
      </c>
      <c r="I20" s="11">
        <f>Hor(C20,D20,HOR_ARRAY,"W")</f>
        <v>193.04665218705497</v>
      </c>
      <c r="J20" s="12" t="str">
        <f>DegtoDMSStr2(Hor(C20,D20,HOR_ARRAY,"W"))</f>
        <v xml:space="preserve"> 193 - 2 - 47.95</v>
      </c>
      <c r="K20" s="11" t="str">
        <f>HorType(C20,HOR_ARRAY)</f>
        <v>Linear</v>
      </c>
      <c r="L20" s="11" t="str">
        <f>VerType(C20,VER_ARRAY)</f>
        <v>Parabola</v>
      </c>
    </row>
    <row r="21" spans="2:12" ht="30" customHeight="1">
      <c r="B21" s="9">
        <v>17</v>
      </c>
      <c r="C21" s="18">
        <f>HorP(F21,G21,HOR_ARRAY,"C",0)</f>
        <v>7599.9999999998681</v>
      </c>
      <c r="D21" s="19">
        <f>HorP(F21,G21,HOR_ARRAY,"O",0)</f>
        <v>0</v>
      </c>
      <c r="E21" s="19">
        <f>H21-ver(C21,VER_ARRAY)</f>
        <v>1.5205614545266144E-12</v>
      </c>
      <c r="F21" s="17">
        <v>662698.05518553767</v>
      </c>
      <c r="G21" s="17">
        <v>1520979.489038958</v>
      </c>
      <c r="H21" s="17">
        <v>76.852739784969557</v>
      </c>
      <c r="I21" s="11">
        <f>Hor(C21,D21,HOR_ARRAY,"W")</f>
        <v>193.04665218705497</v>
      </c>
      <c r="J21" s="12" t="str">
        <f>DegtoDMSStr2(Hor(C21,D21,HOR_ARRAY,"W"))</f>
        <v xml:space="preserve"> 193 - 2 - 47.95</v>
      </c>
      <c r="K21" s="11" t="str">
        <f>HorType(C21,HOR_ARRAY)</f>
        <v>Linear</v>
      </c>
      <c r="L21" s="11" t="str">
        <f>VerType(C21,VER_ARRAY)</f>
        <v>Parabola</v>
      </c>
    </row>
    <row r="22" spans="2:12" ht="30" customHeight="1">
      <c r="B22" s="9">
        <v>18</v>
      </c>
      <c r="C22" s="18">
        <f>HorP(F22,G22,HOR_ARRAY,"C",0)</f>
        <v>7624.9999999999418</v>
      </c>
      <c r="D22" s="19">
        <f>HorP(F22,G22,HOR_ARRAY,"O",0)</f>
        <v>0</v>
      </c>
      <c r="E22" s="19">
        <f>H22-ver(C22,VER_ARRAY)</f>
        <v>0</v>
      </c>
      <c r="F22" s="17">
        <v>662692.4115746246</v>
      </c>
      <c r="G22" s="17">
        <v>1520955.1343750132</v>
      </c>
      <c r="H22" s="17">
        <v>76.999933810430804</v>
      </c>
      <c r="I22" s="11">
        <f>Hor(C22,D22,HOR_ARRAY,"W")</f>
        <v>193.04665218705497</v>
      </c>
      <c r="J22" s="12" t="str">
        <f>DegtoDMSStr2(Hor(C22,D22,HOR_ARRAY,"W"))</f>
        <v xml:space="preserve"> 193 - 2 - 47.95</v>
      </c>
      <c r="K22" s="11" t="str">
        <f>HorType(C22,HOR_ARRAY)</f>
        <v>Linear</v>
      </c>
      <c r="L22" s="11" t="str">
        <f>VerType(C22,VER_ARRAY)</f>
        <v>Parabola</v>
      </c>
    </row>
    <row r="23" spans="2:12" ht="30" customHeight="1">
      <c r="B23" s="9">
        <v>19</v>
      </c>
      <c r="C23" s="18">
        <f>HorP(F23,G23,HOR_ARRAY,"C",0)</f>
        <v>7650.00000000006</v>
      </c>
      <c r="D23" s="19">
        <f>HorP(F23,G23,HOR_ARRAY,"O",0)</f>
        <v>0</v>
      </c>
      <c r="E23" s="19">
        <f>H23-ver(C23,VER_ARRAY)</f>
        <v>0</v>
      </c>
      <c r="F23" s="17">
        <v>662686.76796371152</v>
      </c>
      <c r="G23" s="17">
        <v>1520930.7797110684</v>
      </c>
      <c r="H23" s="17">
        <v>77</v>
      </c>
      <c r="I23" s="11">
        <f>Hor(C23,D23,HOR_ARRAY,"W")</f>
        <v>193.04665218705497</v>
      </c>
      <c r="J23" s="12" t="str">
        <f>DegtoDMSStr2(Hor(C23,D23,HOR_ARRAY,"W"))</f>
        <v xml:space="preserve"> 193 - 2 - 47.95</v>
      </c>
      <c r="K23" s="11" t="str">
        <f>HorType(C23,HOR_ARRAY)</f>
        <v>Linear</v>
      </c>
      <c r="L23" s="11" t="str">
        <f>VerType(C23,VER_ARRAY)</f>
        <v>Linear</v>
      </c>
    </row>
    <row r="24" spans="2:12" ht="30" customHeight="1">
      <c r="B24" s="9">
        <v>20</v>
      </c>
      <c r="C24" s="18">
        <f>HorP(F24,G24,HOR_ARRAY,"C",0)</f>
        <v>7674.9999999999227</v>
      </c>
      <c r="D24" s="19">
        <f>HorP(F24,G24,HOR_ARRAY,"O",0)</f>
        <v>0</v>
      </c>
      <c r="E24" s="19">
        <f>H24-ver(C24,VER_ARRAY)</f>
        <v>0</v>
      </c>
      <c r="F24" s="17">
        <v>662681.12435279845</v>
      </c>
      <c r="G24" s="17">
        <v>1520906.4250471236</v>
      </c>
      <c r="H24" s="17">
        <v>77</v>
      </c>
      <c r="I24" s="11">
        <f>Hor(C24,D24,HOR_ARRAY,"W")</f>
        <v>193.04665218705497</v>
      </c>
      <c r="J24" s="12" t="str">
        <f>DegtoDMSStr2(Hor(C24,D24,HOR_ARRAY,"W"))</f>
        <v xml:space="preserve"> 193 - 2 - 47.95</v>
      </c>
      <c r="K24" s="11" t="str">
        <f>HorType(C24,HOR_ARRAY)</f>
        <v>Linear</v>
      </c>
      <c r="L24" s="11" t="str">
        <f>VerType(C24,VER_ARRAY)</f>
        <v>Linear</v>
      </c>
    </row>
    <row r="25" spans="2:12" ht="30" customHeight="1">
      <c r="B25" s="9">
        <v>21</v>
      </c>
      <c r="C25" s="18">
        <f>HorP(F25,G25,HOR_ARRAY,"C",0)</f>
        <v>7699.99999999993</v>
      </c>
      <c r="D25" s="19">
        <f>HorP(F25,G25,HOR_ARRAY,"O",0)</f>
        <v>2.3283064365386963E-10</v>
      </c>
      <c r="E25" s="19">
        <f>H25-ver(C25,VER_ARRAY)</f>
        <v>1.9895196601282805E-13</v>
      </c>
      <c r="F25" s="17">
        <v>662675.46524006291</v>
      </c>
      <c r="G25" s="17">
        <v>1520882.0739886283</v>
      </c>
      <c r="H25" s="17">
        <v>77.026179968205625</v>
      </c>
      <c r="I25" s="11">
        <f>Hor(C25,D25,HOR_ARRAY,"W")</f>
        <v>193.20175769049854</v>
      </c>
      <c r="J25" s="12" t="str">
        <f>DegtoDMSStr2(Hor(C25,D25,HOR_ARRAY,"W"))</f>
        <v xml:space="preserve"> 193 - 12 - 6.33</v>
      </c>
      <c r="K25" s="11" t="str">
        <f>HorType(C25,HOR_ARRAY)</f>
        <v>Clothoid</v>
      </c>
      <c r="L25" s="11" t="str">
        <f>VerType(C25,VER_ARRAY)</f>
        <v>Parabola</v>
      </c>
    </row>
    <row r="26" spans="2:12" ht="30" customHeight="1">
      <c r="B26" s="9">
        <v>22</v>
      </c>
      <c r="C26" s="18">
        <f>HorP(F26,G26,HOR_ARRAY,"C",0)</f>
        <v>7725.0000000001583</v>
      </c>
      <c r="D26" s="19">
        <f>HorP(F26,G26,HOR_ARRAY,"O",0)</f>
        <v>1.1641532182693481E-10</v>
      </c>
      <c r="E26" s="19">
        <f>H26-ver(C26,VER_ARRAY)</f>
        <v>-1.0658141036401503E-12</v>
      </c>
      <c r="F26" s="17">
        <v>662669.6338717934</v>
      </c>
      <c r="G26" s="17">
        <v>1520857.7637181582</v>
      </c>
      <c r="H26" s="17">
        <v>77.145838038184252</v>
      </c>
      <c r="I26" s="11">
        <f>Hor(C26,D26,HOR_ARRAY,"W")</f>
        <v>193.79757984128838</v>
      </c>
      <c r="J26" s="12" t="str">
        <f>DegtoDMSStr2(Hor(C26,D26,HOR_ARRAY,"W"))</f>
        <v xml:space="preserve"> 193 - 47 - 51.29</v>
      </c>
      <c r="K26" s="11" t="str">
        <f>HorType(C26,HOR_ARRAY)</f>
        <v>Circular</v>
      </c>
      <c r="L26" s="11" t="str">
        <f>VerType(C26,VER_ARRAY)</f>
        <v>Parabola</v>
      </c>
    </row>
    <row r="27" spans="2:12" ht="30" customHeight="1">
      <c r="B27" s="9">
        <v>23</v>
      </c>
      <c r="C27" s="18">
        <f>HorP(F27,G27,HOR_ARRAY,"C",0)</f>
        <v>7750.0000000000464</v>
      </c>
      <c r="D27" s="19">
        <f>HorP(F27,G27,HOR_ARRAY,"O",0)</f>
        <v>0</v>
      </c>
      <c r="E27" s="19">
        <f>H27-ver(C27,VER_ARRAY)</f>
        <v>-3.694822225952521E-13</v>
      </c>
      <c r="F27" s="17">
        <v>662663.54104147491</v>
      </c>
      <c r="G27" s="17">
        <v>1520833.5176552746</v>
      </c>
      <c r="H27" s="17">
        <v>77.336191146011942</v>
      </c>
      <c r="I27" s="11">
        <f>Hor(C27,D27,HOR_ARRAY,"W")</f>
        <v>194.39038213021411</v>
      </c>
      <c r="J27" s="12" t="str">
        <f>DegtoDMSStr2(Hor(C27,D27,HOR_ARRAY,"W"))</f>
        <v xml:space="preserve"> 194 - 23 - 25.38</v>
      </c>
      <c r="K27" s="11" t="str">
        <f>HorType(C27,HOR_ARRAY)</f>
        <v>Clothoid</v>
      </c>
      <c r="L27" s="11" t="str">
        <f>VerType(C27,VER_ARRAY)</f>
        <v>Linear</v>
      </c>
    </row>
    <row r="28" spans="2:12" ht="30" customHeight="1">
      <c r="B28" s="9">
        <v>24</v>
      </c>
      <c r="C28" s="18">
        <f>HorP(F28,G28,HOR_ARRAY,"C",0)</f>
        <v>7775.0000000000045</v>
      </c>
      <c r="D28" s="19">
        <f>HorP(F28,G28,HOR_ARRAY,"O",0)</f>
        <v>0</v>
      </c>
      <c r="E28" s="19">
        <f>H28-ver(C28,VER_ARRAY)</f>
        <v>0</v>
      </c>
      <c r="F28" s="17">
        <v>662657.27966163377</v>
      </c>
      <c r="G28" s="17">
        <v>1520809.3144578252</v>
      </c>
      <c r="H28" s="17">
        <v>77.529941158121318</v>
      </c>
      <c r="I28" s="11">
        <f>Hor(C28,D28,HOR_ARRAY,"W")</f>
        <v>194.53851619383349</v>
      </c>
      <c r="J28" s="12" t="str">
        <f>DegtoDMSStr2(Hor(C28,D28,HOR_ARRAY,"W"))</f>
        <v xml:space="preserve"> 194 - 32 - 18.66</v>
      </c>
      <c r="K28" s="11" t="str">
        <f>HorType(C28,HOR_ARRAY)</f>
        <v>Linear</v>
      </c>
      <c r="L28" s="11" t="str">
        <f>VerType(C28,VER_ARRAY)</f>
        <v>Linear</v>
      </c>
    </row>
    <row r="29" spans="2:12" ht="30" customHeight="1">
      <c r="B29" s="9">
        <v>25</v>
      </c>
      <c r="C29" s="18">
        <f>HorP(F29,G29,HOR_ARRAY,"C",0)</f>
        <v>7800.0000000000118</v>
      </c>
      <c r="D29" s="19">
        <f>HorP(F29,G29,HOR_ARRAY,"O",0)</f>
        <v>0</v>
      </c>
      <c r="E29" s="19">
        <f>H29-ver(C29,VER_ARRAY)</f>
        <v>0</v>
      </c>
      <c r="F29" s="17">
        <v>662651.00389010785</v>
      </c>
      <c r="G29" s="17">
        <v>1520785.1149807284</v>
      </c>
      <c r="H29" s="17">
        <v>77.723691170230694</v>
      </c>
      <c r="I29" s="11">
        <f>Hor(C29,D29,HOR_ARRAY,"W")</f>
        <v>194.53851619383349</v>
      </c>
      <c r="J29" s="12" t="str">
        <f>DegtoDMSStr2(Hor(C29,D29,HOR_ARRAY,"W"))</f>
        <v xml:space="preserve"> 194 - 32 - 18.66</v>
      </c>
      <c r="K29" s="11" t="str">
        <f>HorType(C29,HOR_ARRAY)</f>
        <v>Linear</v>
      </c>
      <c r="L29" s="11" t="str">
        <f>VerType(C29,VER_ARRAY)</f>
        <v>Linear</v>
      </c>
    </row>
    <row r="30" spans="2:12" ht="30" customHeight="1">
      <c r="B30" s="9">
        <v>26</v>
      </c>
      <c r="C30" s="18">
        <f>HorP(F30,G30,HOR_ARRAY,"C",0)</f>
        <v>7824.9999999999573</v>
      </c>
      <c r="D30" s="19">
        <f>HorP(F30,G30,HOR_ARRAY,"O",0)</f>
        <v>0</v>
      </c>
      <c r="E30" s="19">
        <f>H30-ver(C30,VER_ARRAY)</f>
        <v>3.2684965844964609E-13</v>
      </c>
      <c r="F30" s="17">
        <v>662644.74919226754</v>
      </c>
      <c r="G30" s="17">
        <v>1520760.9100606644</v>
      </c>
      <c r="H30" s="17">
        <v>77.91744118234007</v>
      </c>
      <c r="I30" s="11">
        <f>Hor(C30,D30,HOR_ARRAY,"W")</f>
        <v>194.35015401874651</v>
      </c>
      <c r="J30" s="12" t="str">
        <f>DegtoDMSStr2(Hor(C30,D30,HOR_ARRAY,"W"))</f>
        <v xml:space="preserve"> 194 - 21 - 0.55</v>
      </c>
      <c r="K30" s="11" t="str">
        <f>HorType(C30,HOR_ARRAY)</f>
        <v>Clothoid</v>
      </c>
      <c r="L30" s="11" t="str">
        <f>VerType(C30,VER_ARRAY)</f>
        <v>Linear</v>
      </c>
    </row>
    <row r="31" spans="2:12" ht="30" customHeight="1">
      <c r="B31" s="9">
        <v>27</v>
      </c>
      <c r="C31" s="18">
        <f>HorP(F31,G31,HOR_ARRAY,"C",0)</f>
        <v>7850.0000000000291</v>
      </c>
      <c r="D31" s="19">
        <f>HorP(F31,G31,HOR_ARRAY,"O",0)</f>
        <v>0</v>
      </c>
      <c r="E31" s="19">
        <f>H31-ver(C31,VER_ARRAY)</f>
        <v>-2.2737367544323206E-13</v>
      </c>
      <c r="F31" s="17">
        <v>662638.67430108739</v>
      </c>
      <c r="G31" s="17">
        <v>1520736.659490905</v>
      </c>
      <c r="H31" s="17">
        <v>78.111191194449447</v>
      </c>
      <c r="I31" s="11">
        <f>Hor(C31,D31,HOR_ARRAY,"W")</f>
        <v>193.76592690714418</v>
      </c>
      <c r="J31" s="12" t="str">
        <f>DegtoDMSStr2(Hor(C31,D31,HOR_ARRAY,"W"))</f>
        <v xml:space="preserve"> 193 - 45 - 57.34</v>
      </c>
      <c r="K31" s="11" t="str">
        <f>HorType(C31,HOR_ARRAY)</f>
        <v>Circular</v>
      </c>
      <c r="L31" s="11" t="str">
        <f>VerType(C31,VER_ARRAY)</f>
        <v>Linear</v>
      </c>
    </row>
    <row r="32" spans="2:12" ht="30" customHeight="1">
      <c r="B32" s="9">
        <v>28</v>
      </c>
      <c r="C32" s="18">
        <f>HorP(F32,G32,HOR_ARRAY,"C",0)</f>
        <v>7874.9999999999964</v>
      </c>
      <c r="D32" s="19">
        <f>HorP(F32,G32,HOR_ARRAY,"O",0)</f>
        <v>0</v>
      </c>
      <c r="E32" s="19">
        <f>H32-ver(C32,VER_ARRAY)</f>
        <v>0</v>
      </c>
      <c r="F32" s="17">
        <v>662632.85197611549</v>
      </c>
      <c r="G32" s="17">
        <v>1520712.347047989</v>
      </c>
      <c r="H32" s="17">
        <v>78.304941206558823</v>
      </c>
      <c r="I32" s="11">
        <f>Hor(C32,D32,HOR_ARRAY,"W")</f>
        <v>193.16909588715868</v>
      </c>
      <c r="J32" s="12" t="str">
        <f>DegtoDMSStr2(Hor(C32,D32,HOR_ARRAY,"W"))</f>
        <v xml:space="preserve"> 193 - 10 - 8.75</v>
      </c>
      <c r="K32" s="11" t="str">
        <f>HorType(C32,HOR_ARRAY)</f>
        <v>Circular</v>
      </c>
      <c r="L32" s="11" t="str">
        <f>VerType(C32,VER_ARRAY)</f>
        <v>Linear</v>
      </c>
    </row>
    <row r="33" spans="2:12" ht="30" customHeight="1">
      <c r="B33" s="9">
        <v>29</v>
      </c>
      <c r="C33" s="18">
        <f>HorP(F33,G33,HOR_ARRAY,"C",0)</f>
        <v>7900.0000000000764</v>
      </c>
      <c r="D33" s="19">
        <f>HorP(F33,G33,HOR_ARRAY,"O",0)</f>
        <v>0</v>
      </c>
      <c r="E33" s="19">
        <f>H33-ver(C33,VER_ARRAY)</f>
        <v>-5.9685589803848416E-13</v>
      </c>
      <c r="F33" s="17">
        <v>662627.25180389499</v>
      </c>
      <c r="G33" s="17">
        <v>1520687.9824016853</v>
      </c>
      <c r="H33" s="17">
        <v>78.498691218668199</v>
      </c>
      <c r="I33" s="11">
        <f>Hor(C33,D33,HOR_ARRAY,"W")</f>
        <v>192.81690688637647</v>
      </c>
      <c r="J33" s="12" t="str">
        <f>DegtoDMSStr2(Hor(C33,D33,HOR_ARRAY,"W"))</f>
        <v xml:space="preserve"> 192 - 49 - 0.86</v>
      </c>
      <c r="K33" s="11" t="str">
        <f>HorType(C33,HOR_ARRAY)</f>
        <v>Clothoid</v>
      </c>
      <c r="L33" s="11" t="str">
        <f>VerType(C33,VER_ARRAY)</f>
        <v>Linear</v>
      </c>
    </row>
    <row r="34" spans="2:12" ht="30" customHeight="1">
      <c r="B34" s="9">
        <v>30</v>
      </c>
      <c r="C34" s="18">
        <f>HorP(F34,G34,HOR_ARRAY,"C",0)</f>
        <v>7925.0000000000618</v>
      </c>
      <c r="D34" s="19">
        <f>HorP(F34,G34,HOR_ARRAY,"O",0)</f>
        <v>-1.1641532182693481E-10</v>
      </c>
      <c r="E34" s="19">
        <f>H34-ver(C34,VER_ARRAY)</f>
        <v>-4.8316906031686813E-13</v>
      </c>
      <c r="F34" s="17">
        <v>662621.70699853904</v>
      </c>
      <c r="G34" s="17">
        <v>1520663.6050528996</v>
      </c>
      <c r="H34" s="17">
        <v>78.692441230777575</v>
      </c>
      <c r="I34" s="11">
        <f>Hor(C34,D34,HOR_ARRAY,"W")</f>
        <v>192.81423802211259</v>
      </c>
      <c r="J34" s="12" t="str">
        <f>DegtoDMSStr2(Hor(C34,D34,HOR_ARRAY,"W"))</f>
        <v xml:space="preserve"> 192 - 48 - 51.26</v>
      </c>
      <c r="K34" s="11" t="str">
        <f>HorType(C34,HOR_ARRAY)</f>
        <v>Linear</v>
      </c>
      <c r="L34" s="11" t="str">
        <f>VerType(C34,VER_ARRAY)</f>
        <v>Linear</v>
      </c>
    </row>
    <row r="35" spans="2:12" ht="30" customHeight="1">
      <c r="B35" s="9">
        <v>31</v>
      </c>
      <c r="C35" s="18">
        <f>HorP(F35,G35,HOR_ARRAY,"C",0)</f>
        <v>7950.0000000000255</v>
      </c>
      <c r="D35" s="19">
        <f>HorP(F35,G35,HOR_ARRAY,"O",0)</f>
        <v>0</v>
      </c>
      <c r="E35" s="19">
        <f>H35-ver(C35,VER_ARRAY)</f>
        <v>-1.4210854715202004E-13</v>
      </c>
      <c r="F35" s="17">
        <v>662616.1622258625</v>
      </c>
      <c r="G35" s="17">
        <v>1520639.2276966861</v>
      </c>
      <c r="H35" s="17">
        <v>78.863345391503714</v>
      </c>
      <c r="I35" s="11">
        <f>Hor(C35,D35,HOR_ARRAY,"W")</f>
        <v>192.81423802211259</v>
      </c>
      <c r="J35" s="12" t="str">
        <f>DegtoDMSStr2(Hor(C35,D35,HOR_ARRAY,"W"))</f>
        <v xml:space="preserve"> 192 - 48 - 51.26</v>
      </c>
      <c r="K35" s="11" t="str">
        <f>HorType(C35,HOR_ARRAY)</f>
        <v>Linear</v>
      </c>
      <c r="L35" s="11" t="str">
        <f>VerType(C35,VER_ARRAY)</f>
        <v>Parabola</v>
      </c>
    </row>
    <row r="36" spans="2:12" ht="30" customHeight="1">
      <c r="B36" s="9">
        <v>32</v>
      </c>
      <c r="C36" s="18">
        <f>HorP(F36,G36,HOR_ARRAY,"C",0)</f>
        <v>7974.9999999999472</v>
      </c>
      <c r="D36" s="19">
        <f>HorP(F36,G36,HOR_ARRAY,"O",0)</f>
        <v>0</v>
      </c>
      <c r="E36" s="19">
        <f>H36-ver(C36,VER_ARRAY)</f>
        <v>1.4210854715202004E-13</v>
      </c>
      <c r="F36" s="17">
        <v>662610.51053389767</v>
      </c>
      <c r="G36" s="17">
        <v>1520614.8754748716</v>
      </c>
      <c r="H36" s="17">
        <v>78.966268165793537</v>
      </c>
      <c r="I36" s="11">
        <f>Hor(C36,D36,HOR_ARRAY,"W")</f>
        <v>194.19607407451298</v>
      </c>
      <c r="J36" s="12" t="str">
        <f>DegtoDMSStr2(Hor(C36,D36,HOR_ARRAY,"W"))</f>
        <v xml:space="preserve"> 194 - 11 - 45.87</v>
      </c>
      <c r="K36" s="11" t="str">
        <f>HorType(C36,HOR_ARRAY)</f>
        <v>Clothoid</v>
      </c>
      <c r="L36" s="11" t="str">
        <f>VerType(C36,VER_ARRAY)</f>
        <v>Parabola</v>
      </c>
    </row>
    <row r="37" spans="2:12" ht="30" customHeight="1">
      <c r="B37" s="9">
        <v>33</v>
      </c>
      <c r="C37" s="18">
        <f>HorP(F37,G37,HOR_ARRAY,"C",0)</f>
        <v>7999.999999999889</v>
      </c>
      <c r="D37" s="19">
        <f>HorP(F37,G37,HOR_ARRAY,"O",0)</f>
        <v>0</v>
      </c>
      <c r="E37" s="19">
        <f>H37-ver(C37,VER_ARRAY)</f>
        <v>0</v>
      </c>
      <c r="F37" s="17">
        <v>662603.04032851022</v>
      </c>
      <c r="G37" s="17">
        <v>1520591.0322088234</v>
      </c>
      <c r="H37" s="17">
        <v>79</v>
      </c>
      <c r="I37" s="11">
        <f>Hor(C37,D37,HOR_ARRAY,"W")</f>
        <v>200.71911744251446</v>
      </c>
      <c r="J37" s="12" t="str">
        <f>DegtoDMSStr2(Hor(C37,D37,HOR_ARRAY,"W"))</f>
        <v xml:space="preserve"> 200 - 43 - 8.82</v>
      </c>
      <c r="K37" s="11" t="str">
        <f>HorType(C37,HOR_ARRAY)</f>
        <v>Circular</v>
      </c>
      <c r="L37" s="11" t="str">
        <f>VerType(C37,VER_ARRAY)</f>
        <v>Linear</v>
      </c>
    </row>
    <row r="38" spans="2:12" ht="30" customHeight="1">
      <c r="B38" s="9">
        <v>34</v>
      </c>
      <c r="C38" s="18">
        <f>HorP(F38,G38,HOR_ARRAY,"C",0)</f>
        <v>8024.99999999994</v>
      </c>
      <c r="D38" s="19">
        <f>HorP(F38,G38,HOR_ARRAY,"O",0)</f>
        <v>0</v>
      </c>
      <c r="E38" s="19">
        <f>H38-ver(C38,VER_ARRAY)</f>
        <v>0</v>
      </c>
      <c r="F38" s="17">
        <v>662593.41139419249</v>
      </c>
      <c r="G38" s="17">
        <v>1520567.9633099094</v>
      </c>
      <c r="H38" s="17">
        <v>79</v>
      </c>
      <c r="I38" s="11">
        <f>Hor(C38,D38,HOR_ARRAY,"W")</f>
        <v>203.05476643135674</v>
      </c>
      <c r="J38" s="12" t="str">
        <f>DegtoDMSStr2(Hor(C38,D38,HOR_ARRAY,"W"))</f>
        <v xml:space="preserve"> 203 - 3 - 17.16</v>
      </c>
      <c r="K38" s="11" t="str">
        <f>HorType(C38,HOR_ARRAY)</f>
        <v>Clothoid</v>
      </c>
      <c r="L38" s="11" t="str">
        <f>VerType(C38,VER_ARRAY)</f>
        <v>Linear</v>
      </c>
    </row>
    <row r="39" spans="2:12" ht="30" customHeight="1">
      <c r="B39" s="9">
        <v>35</v>
      </c>
      <c r="C39" s="18">
        <f>HorP(F39,G39,HOR_ARRAY,"C",0)</f>
        <v>8050.0000000000864</v>
      </c>
      <c r="D39" s="19">
        <f>HorP(F39,G39,HOR_ARRAY,"O",0)</f>
        <v>0</v>
      </c>
      <c r="E39" s="19">
        <f>H39-ver(C39,VER_ARRAY)</f>
        <v>0</v>
      </c>
      <c r="F39" s="17">
        <v>662584.62115632521</v>
      </c>
      <c r="G39" s="17">
        <v>1520544.5716125965</v>
      </c>
      <c r="H39" s="17">
        <v>79</v>
      </c>
      <c r="I39" s="11">
        <f>Hor(C39,D39,HOR_ARRAY,"W")</f>
        <v>197.42739593881797</v>
      </c>
      <c r="J39" s="12" t="str">
        <f>DegtoDMSStr2(Hor(C39,D39,HOR_ARRAY,"W"))</f>
        <v xml:space="preserve"> 197 - 25 - 38.63</v>
      </c>
      <c r="K39" s="11" t="str">
        <f>HorType(C39,HOR_ARRAY)</f>
        <v>Circular</v>
      </c>
      <c r="L39" s="11" t="str">
        <f>VerType(C39,VER_ARRAY)</f>
        <v>Linear</v>
      </c>
    </row>
    <row r="40" spans="2:12" ht="30" customHeight="1">
      <c r="B40" s="9">
        <v>36</v>
      </c>
      <c r="C40" s="18">
        <f>HorP(F40,G40,HOR_ARRAY,"C",0)</f>
        <v>8074.9999999999218</v>
      </c>
      <c r="D40" s="19">
        <f>HorP(F40,G40,HOR_ARRAY,"O",0)</f>
        <v>0</v>
      </c>
      <c r="E40" s="19">
        <f>H40-ver(C40,VER_ARRAY)</f>
        <v>0</v>
      </c>
      <c r="F40" s="17">
        <v>662578.20966520393</v>
      </c>
      <c r="G40" s="17">
        <v>1520520.4131029285</v>
      </c>
      <c r="H40" s="17">
        <v>79</v>
      </c>
      <c r="I40" s="11">
        <f>Hor(C40,D40,HOR_ARRAY,"W")</f>
        <v>193.6466376681802</v>
      </c>
      <c r="J40" s="12" t="str">
        <f>DegtoDMSStr2(Hor(C40,D40,HOR_ARRAY,"W"))</f>
        <v xml:space="preserve"> 193 - 38 - 47.9</v>
      </c>
      <c r="K40" s="11" t="str">
        <f>HorType(C40,HOR_ARRAY)</f>
        <v>Linear</v>
      </c>
      <c r="L40" s="11" t="str">
        <f>VerType(C40,VER_ARRAY)</f>
        <v>Linear</v>
      </c>
    </row>
    <row r="41" spans="2:12" ht="30" customHeight="1">
      <c r="B41" s="9">
        <v>37</v>
      </c>
      <c r="C41" s="18">
        <f>HorP(F41,G41,HOR_ARRAY,"C",0)</f>
        <v>8099.9999999999764</v>
      </c>
      <c r="D41" s="19">
        <f>HorP(F41,G41,HOR_ARRAY,"O",0)</f>
        <v>0</v>
      </c>
      <c r="E41" s="19">
        <f>H41-ver(C41,VER_ARRAY)</f>
        <v>0</v>
      </c>
      <c r="F41" s="17">
        <v>662572.31133309961</v>
      </c>
      <c r="G41" s="17">
        <v>1520496.1188715477</v>
      </c>
      <c r="H41" s="17">
        <v>79</v>
      </c>
      <c r="I41" s="11">
        <f>Hor(C41,D41,HOR_ARRAY,"W")</f>
        <v>193.6466376681802</v>
      </c>
      <c r="J41" s="12" t="str">
        <f>DegtoDMSStr2(Hor(C41,D41,HOR_ARRAY,"W"))</f>
        <v xml:space="preserve"> 193 - 38 - 47.9</v>
      </c>
      <c r="K41" s="11" t="str">
        <f>HorType(C41,HOR_ARRAY)</f>
        <v>Linear</v>
      </c>
      <c r="L41" s="11" t="str">
        <f>VerType(C41,VER_ARRAY)</f>
        <v>Linear</v>
      </c>
    </row>
    <row r="42" spans="2:12" ht="30" customHeight="1">
      <c r="B42" s="9">
        <v>38</v>
      </c>
      <c r="C42" s="18">
        <f>HorP(F42,G42,HOR_ARRAY,"C",0)</f>
        <v>8125.0000000000045</v>
      </c>
      <c r="D42" s="19">
        <f>HorP(F42,G42,HOR_ARRAY,"O",0)</f>
        <v>0</v>
      </c>
      <c r="E42" s="19">
        <f>H42-ver(C42,VER_ARRAY)</f>
        <v>0</v>
      </c>
      <c r="F42" s="17">
        <v>662566.41300099541</v>
      </c>
      <c r="G42" s="17">
        <v>1520471.8246401667</v>
      </c>
      <c r="H42" s="17">
        <v>79</v>
      </c>
      <c r="I42" s="11">
        <f>Hor(C42,D42,HOR_ARRAY,"W")</f>
        <v>193.6466376681802</v>
      </c>
      <c r="J42" s="12" t="str">
        <f>DegtoDMSStr2(Hor(C42,D42,HOR_ARRAY,"W"))</f>
        <v xml:space="preserve"> 193 - 38 - 47.9</v>
      </c>
      <c r="K42" s="11" t="str">
        <f>HorType(C42,HOR_ARRAY)</f>
        <v>Linear</v>
      </c>
      <c r="L42" s="11" t="str">
        <f>VerType(C42,VER_ARRAY)</f>
        <v>Linear</v>
      </c>
    </row>
    <row r="43" spans="2:12" ht="30" customHeight="1">
      <c r="B43" s="9">
        <v>39</v>
      </c>
      <c r="C43" s="18">
        <f>HorP(F43,G43,HOR_ARRAY,"C",0)</f>
        <v>8150.0000000000846</v>
      </c>
      <c r="D43" s="19">
        <f>HorP(F43,G43,HOR_ARRAY,"O",0)</f>
        <v>0</v>
      </c>
      <c r="E43" s="19">
        <f>H43-ver(C43,VER_ARRAY)</f>
        <v>0</v>
      </c>
      <c r="F43" s="17">
        <v>662560.51466889121</v>
      </c>
      <c r="G43" s="17">
        <v>1520447.5304087859</v>
      </c>
      <c r="H43" s="17">
        <v>79</v>
      </c>
      <c r="I43" s="11">
        <f>Hor(C43,D43,HOR_ARRAY,"W")</f>
        <v>193.6466376681802</v>
      </c>
      <c r="J43" s="12" t="str">
        <f>DegtoDMSStr2(Hor(C43,D43,HOR_ARRAY,"W"))</f>
        <v xml:space="preserve"> 193 - 38 - 47.9</v>
      </c>
      <c r="K43" s="11" t="str">
        <f>HorType(C43,HOR_ARRAY)</f>
        <v>Linear</v>
      </c>
      <c r="L43" s="11" t="str">
        <f>VerType(C43,VER_ARRAY)</f>
        <v>Linear</v>
      </c>
    </row>
    <row r="44" spans="2:12" ht="30" customHeight="1">
      <c r="B44" s="9">
        <v>40</v>
      </c>
      <c r="C44" s="18">
        <f>HorP(F44,G44,HOR_ARRAY,"C",0)</f>
        <v>8174.9999999998445</v>
      </c>
      <c r="D44" s="19">
        <f>HorP(F44,G44,HOR_ARRAY,"O",0)</f>
        <v>0</v>
      </c>
      <c r="E44" s="19">
        <f>H44-ver(C44,VER_ARRAY)</f>
        <v>0</v>
      </c>
      <c r="F44" s="17">
        <v>662554.616336787</v>
      </c>
      <c r="G44" s="17">
        <v>1520423.2361774051</v>
      </c>
      <c r="H44" s="17">
        <v>79</v>
      </c>
      <c r="I44" s="11">
        <f>Hor(C44,D44,HOR_ARRAY,"W")</f>
        <v>193.6466376681802</v>
      </c>
      <c r="J44" s="12" t="str">
        <f>DegtoDMSStr2(Hor(C44,D44,HOR_ARRAY,"W"))</f>
        <v xml:space="preserve"> 193 - 38 - 47.9</v>
      </c>
      <c r="K44" s="11" t="str">
        <f>HorType(C44,HOR_ARRAY)</f>
        <v>Linear</v>
      </c>
      <c r="L44" s="11" t="str">
        <f>VerType(C44,VER_ARRAY)</f>
        <v>Linear</v>
      </c>
    </row>
    <row r="45" spans="2:12" ht="30" customHeight="1">
      <c r="B45" s="9">
        <v>41</v>
      </c>
      <c r="C45" s="18">
        <f>HorP(F45,G45,HOR_ARRAY,"C",0)</f>
        <v>8199.9999999999472</v>
      </c>
      <c r="D45" s="19">
        <f>HorP(F45,G45,HOR_ARRAY,"O",0)</f>
        <v>0</v>
      </c>
      <c r="E45" s="19">
        <f>H45-ver(C45,VER_ARRAY)</f>
        <v>0</v>
      </c>
      <c r="F45" s="17">
        <v>662548.7180046828</v>
      </c>
      <c r="G45" s="17">
        <v>1520398.9419460241</v>
      </c>
      <c r="H45" s="17">
        <v>79</v>
      </c>
      <c r="I45" s="11">
        <f>Hor(C45,D45,HOR_ARRAY,"W")</f>
        <v>193.6466376681802</v>
      </c>
      <c r="J45" s="12" t="str">
        <f>DegtoDMSStr2(Hor(C45,D45,HOR_ARRAY,"W"))</f>
        <v xml:space="preserve"> 193 - 38 - 47.9</v>
      </c>
      <c r="K45" s="11" t="str">
        <f>HorType(C45,HOR_ARRAY)</f>
        <v>Linear</v>
      </c>
      <c r="L45" s="11" t="str">
        <f>VerType(C45,VER_ARRAY)</f>
        <v>Linear</v>
      </c>
    </row>
    <row r="46" spans="2:12" ht="30" customHeight="1">
      <c r="B46" s="9">
        <v>42</v>
      </c>
      <c r="C46" s="18">
        <f>HorP(F46,G46,HOR_ARRAY,"C",0)</f>
        <v>8224.9999999999054</v>
      </c>
      <c r="D46" s="19">
        <f>HorP(F46,G46,HOR_ARRAY,"O",0)</f>
        <v>0</v>
      </c>
      <c r="E46" s="19">
        <f>H46-ver(C46,VER_ARRAY)</f>
        <v>0</v>
      </c>
      <c r="F46" s="17">
        <v>662542.8196725786</v>
      </c>
      <c r="G46" s="17">
        <v>1520374.6477146433</v>
      </c>
      <c r="H46" s="17">
        <v>79</v>
      </c>
      <c r="I46" s="11">
        <f>Hor(C46,D46,HOR_ARRAY,"W")</f>
        <v>193.6466376681802</v>
      </c>
      <c r="J46" s="12" t="str">
        <f>DegtoDMSStr2(Hor(C46,D46,HOR_ARRAY,"W"))</f>
        <v xml:space="preserve"> 193 - 38 - 47.9</v>
      </c>
      <c r="K46" s="11" t="str">
        <f>HorType(C46,HOR_ARRAY)</f>
        <v>Linear</v>
      </c>
      <c r="L46" s="11" t="str">
        <f>VerType(C46,VER_ARRAY)</f>
        <v>Linear</v>
      </c>
    </row>
    <row r="47" spans="2:12" ht="30" customHeight="1">
      <c r="B47" s="9">
        <v>43</v>
      </c>
      <c r="C47" s="18">
        <f>HorP(F47,G47,HOR_ARRAY,"C",0)</f>
        <v>8250.0000000001237</v>
      </c>
      <c r="D47" s="19">
        <f>HorP(F47,G47,HOR_ARRAY,"O",0)</f>
        <v>0</v>
      </c>
      <c r="E47" s="19">
        <f>H47-ver(C47,VER_ARRAY)</f>
        <v>0</v>
      </c>
      <c r="F47" s="17">
        <v>662536.92134047439</v>
      </c>
      <c r="G47" s="17">
        <v>1520350.3534832622</v>
      </c>
      <c r="H47" s="17">
        <v>79</v>
      </c>
      <c r="I47" s="11">
        <f>Hor(C47,D47,HOR_ARRAY,"W")</f>
        <v>193.6466376681802</v>
      </c>
      <c r="J47" s="12" t="str">
        <f>DegtoDMSStr2(Hor(C47,D47,HOR_ARRAY,"W"))</f>
        <v xml:space="preserve"> 193 - 38 - 47.9</v>
      </c>
      <c r="K47" s="11" t="str">
        <f>HorType(C47,HOR_ARRAY)</f>
        <v>Linear</v>
      </c>
      <c r="L47" s="11" t="str">
        <f>VerType(C47,VER_ARRAY)</f>
        <v>Linear</v>
      </c>
    </row>
    <row r="48" spans="2:12" ht="30" customHeight="1">
      <c r="B48" s="9">
        <v>44</v>
      </c>
      <c r="C48" s="18">
        <f>HorP(F48,G48,HOR_ARRAY,"C",0)</f>
        <v>8274.9999999999018</v>
      </c>
      <c r="D48" s="19">
        <f>HorP(F48,G48,HOR_ARRAY,"O",0)</f>
        <v>0</v>
      </c>
      <c r="E48" s="19">
        <f>H48-ver(C48,VER_ARRAY)</f>
        <v>0</v>
      </c>
      <c r="F48" s="17">
        <v>662531.02300837019</v>
      </c>
      <c r="G48" s="17">
        <v>1520326.0592518814</v>
      </c>
      <c r="H48" s="17">
        <v>79</v>
      </c>
      <c r="I48" s="11">
        <f>Hor(C48,D48,HOR_ARRAY,"W")</f>
        <v>193.6466376681802</v>
      </c>
      <c r="J48" s="12" t="str">
        <f>DegtoDMSStr2(Hor(C48,D48,HOR_ARRAY,"W"))</f>
        <v xml:space="preserve"> 193 - 38 - 47.9</v>
      </c>
      <c r="K48" s="11" t="str">
        <f>HorType(C48,HOR_ARRAY)</f>
        <v>Linear</v>
      </c>
      <c r="L48" s="11" t="str">
        <f>VerType(C48,VER_ARRAY)</f>
        <v>Linear</v>
      </c>
    </row>
    <row r="49" spans="2:12" ht="30" customHeight="1">
      <c r="B49" s="9">
        <v>45</v>
      </c>
      <c r="C49" s="18">
        <f>HorP(F49,G49,HOR_ARRAY,"C",0)</f>
        <v>8300.0000000000236</v>
      </c>
      <c r="D49" s="19">
        <f>HorP(F49,G49,HOR_ARRAY,"O",0)</f>
        <v>0</v>
      </c>
      <c r="E49" s="19">
        <f>H49-ver(C49,VER_ARRAY)</f>
        <v>0</v>
      </c>
      <c r="F49" s="17">
        <v>662525.50358121854</v>
      </c>
      <c r="G49" s="17">
        <v>1520301.6773231716</v>
      </c>
      <c r="H49" s="17">
        <v>79</v>
      </c>
      <c r="I49" s="11">
        <f>Hor(C49,D49,HOR_ARRAY,"W")</f>
        <v>191.80146941661283</v>
      </c>
      <c r="J49" s="12" t="str">
        <f>DegtoDMSStr2(Hor(C49,D49,HOR_ARRAY,"W"))</f>
        <v xml:space="preserve"> 191 - 48 - 5.29</v>
      </c>
      <c r="K49" s="11" t="str">
        <f>HorType(C49,HOR_ARRAY)</f>
        <v>Circular</v>
      </c>
      <c r="L49" s="11" t="str">
        <f>VerType(C49,VER_ARRAY)</f>
        <v>Linear</v>
      </c>
    </row>
    <row r="50" spans="2:12" ht="30" customHeight="1">
      <c r="B50" s="9">
        <v>46</v>
      </c>
      <c r="C50" s="18">
        <f>HorP(F50,G50,HOR_ARRAY,"C",0)</f>
        <v>8325.0000000000582</v>
      </c>
      <c r="D50" s="19">
        <f>HorP(F50,G50,HOR_ARRAY,"O",0)</f>
        <v>0</v>
      </c>
      <c r="E50" s="19">
        <f>H50-ver(C50,VER_ARRAY)</f>
        <v>0</v>
      </c>
      <c r="F50" s="17">
        <v>662520.73094935459</v>
      </c>
      <c r="G50" s="17">
        <v>1520277.1376545965</v>
      </c>
      <c r="H50" s="17">
        <v>79</v>
      </c>
      <c r="I50" s="11">
        <f>Hor(C50,D50,HOR_ARRAY,"W")</f>
        <v>190.67172268622906</v>
      </c>
      <c r="J50" s="12" t="str">
        <f>DegtoDMSStr2(Hor(C50,D50,HOR_ARRAY,"W"))</f>
        <v xml:space="preserve"> 190 - 40 - 18.2</v>
      </c>
      <c r="K50" s="11" t="str">
        <f>HorType(C50,HOR_ARRAY)</f>
        <v>Linear</v>
      </c>
      <c r="L50" s="11" t="str">
        <f>VerType(C50,VER_ARRAY)</f>
        <v>Linear</v>
      </c>
    </row>
    <row r="51" spans="2:12" ht="30" customHeight="1">
      <c r="B51" s="9">
        <v>47</v>
      </c>
      <c r="C51" s="18">
        <f>HorP(F51,G51,HOR_ARRAY,"C",0)</f>
        <v>8349.9999999998745</v>
      </c>
      <c r="D51" s="19">
        <f>HorP(F51,G51,HOR_ARRAY,"O",0)</f>
        <v>0</v>
      </c>
      <c r="E51" s="19">
        <f>H51-ver(C51,VER_ARRAY)</f>
        <v>0</v>
      </c>
      <c r="F51" s="17">
        <v>662516.10140603676</v>
      </c>
      <c r="G51" s="17">
        <v>1520252.5700472922</v>
      </c>
      <c r="H51" s="17">
        <v>79</v>
      </c>
      <c r="I51" s="11">
        <f>Hor(C51,D51,HOR_ARRAY,"W")</f>
        <v>190.67172268622906</v>
      </c>
      <c r="J51" s="12" t="str">
        <f>DegtoDMSStr2(Hor(C51,D51,HOR_ARRAY,"W"))</f>
        <v xml:space="preserve"> 190 - 40 - 18.2</v>
      </c>
      <c r="K51" s="11" t="str">
        <f>HorType(C51,HOR_ARRAY)</f>
        <v>Linear</v>
      </c>
      <c r="L51" s="11" t="str">
        <f>VerType(C51,VER_ARRAY)</f>
        <v>Linear</v>
      </c>
    </row>
    <row r="52" spans="2:12" ht="30" customHeight="1">
      <c r="B52" s="9">
        <v>48</v>
      </c>
      <c r="C52" s="18">
        <f>HorP(F52,G52,HOR_ARRAY,"C",0)</f>
        <v>8374.9999999999891</v>
      </c>
      <c r="D52" s="19">
        <f>HorP(F52,G52,HOR_ARRAY,"O",0)</f>
        <v>0</v>
      </c>
      <c r="E52" s="19">
        <f>H52-ver(C52,VER_ARRAY)</f>
        <v>0</v>
      </c>
      <c r="F52" s="17">
        <v>662511.47027988802</v>
      </c>
      <c r="G52" s="17">
        <v>1520228.002738741</v>
      </c>
      <c r="H52" s="17">
        <v>78.995703927651761</v>
      </c>
      <c r="I52" s="11">
        <f>Hor(C52,D52,HOR_ARRAY,"W")</f>
        <v>190.72794230683959</v>
      </c>
      <c r="J52" s="12" t="str">
        <f>DegtoDMSStr2(Hor(C52,D52,HOR_ARRAY,"W"))</f>
        <v xml:space="preserve"> 190 - 43 - 40.59</v>
      </c>
      <c r="K52" s="11" t="str">
        <f>HorType(C52,HOR_ARRAY)</f>
        <v>Clothoid</v>
      </c>
      <c r="L52" s="11" t="str">
        <f>VerType(C52,VER_ARRAY)</f>
        <v>Parabola</v>
      </c>
    </row>
    <row r="53" spans="2:12" ht="30" customHeight="1">
      <c r="B53" s="9">
        <v>49</v>
      </c>
      <c r="C53" s="18">
        <f>HorP(F53,G53,HOR_ARRAY,"C",0)</f>
        <v>8400.0000000000764</v>
      </c>
      <c r="D53" s="19">
        <f>HorP(F53,G53,HOR_ARRAY,"O",0)</f>
        <v>0</v>
      </c>
      <c r="E53" s="19">
        <f>H53-ver(C53,VER_ARRAY)</f>
        <v>8.1001871876651421E-13</v>
      </c>
      <c r="F53" s="17">
        <v>662506.50170675083</v>
      </c>
      <c r="G53" s="17">
        <v>1520203.5026003879</v>
      </c>
      <c r="H53" s="17">
        <v>78.842975720994374</v>
      </c>
      <c r="I53" s="11">
        <f>Hor(C53,D53,HOR_ARRAY,"W")</f>
        <v>192.51377916069063</v>
      </c>
      <c r="J53" s="12" t="str">
        <f>DegtoDMSStr2(Hor(C53,D53,HOR_ARRAY,"W"))</f>
        <v xml:space="preserve"> 192 - 30 - 49.6</v>
      </c>
      <c r="K53" s="11" t="str">
        <f>HorType(C53,HOR_ARRAY)</f>
        <v>Circular</v>
      </c>
      <c r="L53" s="11" t="str">
        <f>VerType(C53,VER_ARRAY)</f>
        <v>Parabola</v>
      </c>
    </row>
    <row r="54" spans="2:12" ht="30" customHeight="1">
      <c r="B54" s="9">
        <v>50</v>
      </c>
      <c r="C54" s="18">
        <f>HorP(F54,G54,HOR_ARRAY,"C",0)</f>
        <v>8424.9999999998436</v>
      </c>
      <c r="D54" s="19">
        <f>HorP(F54,G54,HOR_ARRAY,"O",0)</f>
        <v>0</v>
      </c>
      <c r="E54" s="19">
        <f>H54-ver(C54,VER_ARRAY)</f>
        <v>-3.0127011996228248E-12</v>
      </c>
      <c r="F54" s="17">
        <v>662500.60298973054</v>
      </c>
      <c r="G54" s="17">
        <v>1520179.2100588856</v>
      </c>
      <c r="H54" s="17">
        <v>78.471498113520326</v>
      </c>
      <c r="I54" s="11">
        <f>Hor(C54,D54,HOR_ARRAY,"W")</f>
        <v>194.64785385376027</v>
      </c>
      <c r="J54" s="12" t="str">
        <f>DegtoDMSStr2(Hor(C54,D54,HOR_ARRAY,"W"))</f>
        <v xml:space="preserve"> 194 - 38 - 52.27</v>
      </c>
      <c r="K54" s="11" t="str">
        <f>HorType(C54,HOR_ARRAY)</f>
        <v>Clothoid</v>
      </c>
      <c r="L54" s="11" t="str">
        <f>VerType(C54,VER_ARRAY)</f>
        <v>Parabola</v>
      </c>
    </row>
    <row r="55" spans="2:12" ht="30" customHeight="1">
      <c r="B55" s="9">
        <v>51</v>
      </c>
      <c r="C55" s="18">
        <f>HorP(F55,G55,HOR_ARRAY,"C",0)</f>
        <v>8449.9999999998945</v>
      </c>
      <c r="D55" s="19">
        <f>HorP(F55,G55,HOR_ARRAY,"O",0)</f>
        <v>0</v>
      </c>
      <c r="E55" s="19">
        <f>H55-ver(C55,VER_ARRAY)</f>
        <v>-2.9558577807620168E-12</v>
      </c>
      <c r="F55" s="17">
        <v>662494.17592643877</v>
      </c>
      <c r="G55" s="17">
        <v>1520155.0503455023</v>
      </c>
      <c r="H55" s="17">
        <v>77.881271105229615</v>
      </c>
      <c r="I55" s="11">
        <f>Hor(C55,D55,HOR_ARRAY,"W")</f>
        <v>194.94108256480718</v>
      </c>
      <c r="J55" s="12" t="str">
        <f>DegtoDMSStr2(Hor(C55,D55,HOR_ARRAY,"W"))</f>
        <v xml:space="preserve"> 194 - 56 - 27.9</v>
      </c>
      <c r="K55" s="11" t="str">
        <f>HorType(C55,HOR_ARRAY)</f>
        <v>Linear</v>
      </c>
      <c r="L55" s="11" t="str">
        <f>VerType(C55,VER_ARRAY)</f>
        <v>Parabola</v>
      </c>
    </row>
    <row r="56" spans="2:12" ht="30" customHeight="1">
      <c r="B56" s="9">
        <v>52</v>
      </c>
      <c r="C56" s="18">
        <f>HorP(F56,G56,HOR_ARRAY,"C",0)</f>
        <v>8474.9999999999654</v>
      </c>
      <c r="D56" s="19">
        <f>HorP(F56,G56,HOR_ARRAY,"O",0)</f>
        <v>0</v>
      </c>
      <c r="E56" s="19">
        <f>H56-ver(C56,VER_ARRAY)</f>
        <v>-1.2079226507921703E-12</v>
      </c>
      <c r="F56" s="17">
        <v>662487.73028305708</v>
      </c>
      <c r="G56" s="17">
        <v>1520130.8955596122</v>
      </c>
      <c r="H56" s="17">
        <v>77.076590768470481</v>
      </c>
      <c r="I56" s="11">
        <f>Hor(C56,D56,HOR_ARRAY,"W")</f>
        <v>194.94108256480718</v>
      </c>
      <c r="J56" s="12" t="str">
        <f>DegtoDMSStr2(Hor(C56,D56,HOR_ARRAY,"W"))</f>
        <v xml:space="preserve"> 194 - 56 - 27.9</v>
      </c>
      <c r="K56" s="11" t="str">
        <f>HorType(C56,HOR_ARRAY)</f>
        <v>Linear</v>
      </c>
      <c r="L56" s="11" t="str">
        <f>VerType(C56,VER_ARRAY)</f>
        <v>Linear</v>
      </c>
    </row>
    <row r="57" spans="2:12" ht="30" customHeight="1">
      <c r="B57" s="9">
        <v>53</v>
      </c>
      <c r="C57" s="18">
        <f>HorP(F57,G57,HOR_ARRAY,"C",0)</f>
        <v>8500.0000000000109</v>
      </c>
      <c r="D57" s="19">
        <f>HorP(F57,G57,HOR_ARRAY,"O",0)</f>
        <v>0</v>
      </c>
      <c r="E57" s="19">
        <f>H57-ver(C57,VER_ARRAY)</f>
        <v>3.836930773104541E-13</v>
      </c>
      <c r="F57" s="17">
        <v>662481.28463967529</v>
      </c>
      <c r="G57" s="17">
        <v>1520106.7407737221</v>
      </c>
      <c r="H57" s="17">
        <v>76.201593165203832</v>
      </c>
      <c r="I57" s="11">
        <f>Hor(C57,D57,HOR_ARRAY,"W")</f>
        <v>194.94108256480718</v>
      </c>
      <c r="J57" s="12" t="str">
        <f>DegtoDMSStr2(Hor(C57,D57,HOR_ARRAY,"W"))</f>
        <v xml:space="preserve"> 194 - 56 - 27.9</v>
      </c>
      <c r="K57" s="11" t="str">
        <f>HorType(C57,HOR_ARRAY)</f>
        <v>Linear</v>
      </c>
      <c r="L57" s="11" t="str">
        <f>VerType(C57,VER_ARRAY)</f>
        <v>Linear</v>
      </c>
    </row>
    <row r="58" spans="2:12" ht="30" customHeight="1">
      <c r="B58" s="9">
        <v>54</v>
      </c>
      <c r="C58" s="18">
        <f>HorP(F58,G58,HOR_ARRAY,"C",0)</f>
        <v>8524.9999999999145</v>
      </c>
      <c r="D58" s="19">
        <f>HorP(F58,G58,HOR_ARRAY,"O",0)</f>
        <v>0</v>
      </c>
      <c r="E58" s="19">
        <f>H58-ver(C58,VER_ARRAY)</f>
        <v>-2.9984903449076228E-12</v>
      </c>
      <c r="F58" s="17">
        <v>662474.78563097119</v>
      </c>
      <c r="G58" s="17">
        <v>1520082.6004066246</v>
      </c>
      <c r="H58" s="17">
        <v>75.326595561937182</v>
      </c>
      <c r="I58" s="11">
        <f>Hor(C58,D58,HOR_ARRAY,"W")</f>
        <v>195.53655996959023</v>
      </c>
      <c r="J58" s="12" t="str">
        <f>DegtoDMSStr2(Hor(C58,D58,HOR_ARRAY,"W"))</f>
        <v xml:space="preserve"> 195 - 32 - 11.62</v>
      </c>
      <c r="K58" s="11" t="str">
        <f>HorType(C58,HOR_ARRAY)</f>
        <v>Clothoid</v>
      </c>
      <c r="L58" s="11" t="str">
        <f>VerType(C58,VER_ARRAY)</f>
        <v>Linear</v>
      </c>
    </row>
    <row r="59" spans="2:12" ht="30" customHeight="1">
      <c r="B59" s="9">
        <v>55</v>
      </c>
      <c r="C59" s="18">
        <f>HorP(F59,G59,HOR_ARRAY,"C",0)</f>
        <v>8550.0000000001346</v>
      </c>
      <c r="D59" s="19">
        <f>HorP(F59,G59,HOR_ARRAY,"O",0)</f>
        <v>0</v>
      </c>
      <c r="E59" s="19">
        <f>H59-ver(C59,VER_ARRAY)</f>
        <v>4.7180037654470652E-12</v>
      </c>
      <c r="F59" s="17">
        <v>662467.49544808536</v>
      </c>
      <c r="G59" s="17">
        <v>1520058.6906737071</v>
      </c>
      <c r="H59" s="17">
        <v>74.451597958670547</v>
      </c>
      <c r="I59" s="11">
        <f>Hor(C59,D59,HOR_ARRAY,"W")</f>
        <v>198.8640549541953</v>
      </c>
      <c r="J59" s="12" t="str">
        <f>DegtoDMSStr2(Hor(C59,D59,HOR_ARRAY,"W"))</f>
        <v xml:space="preserve"> 198 - 51 - 50.6</v>
      </c>
      <c r="K59" s="11" t="str">
        <f>HorType(C59,HOR_ARRAY)</f>
        <v>Clothoid</v>
      </c>
      <c r="L59" s="11" t="str">
        <f>VerType(C59,VER_ARRAY)</f>
        <v>Linear</v>
      </c>
    </row>
    <row r="60" spans="2:12" ht="30" customHeight="1">
      <c r="B60" s="9">
        <v>56</v>
      </c>
      <c r="C60" s="18">
        <f>HorP(F60,G60,HOR_ARRAY,"C",0)</f>
        <v>8574.9999999998618</v>
      </c>
      <c r="D60" s="19">
        <f>HorP(F60,G60,HOR_ARRAY,"O",0)</f>
        <v>0</v>
      </c>
      <c r="E60" s="19">
        <f>H60-ver(C60,VER_ARRAY)</f>
        <v>-4.8316906031686813E-12</v>
      </c>
      <c r="F60" s="17">
        <v>662458.28842512495</v>
      </c>
      <c r="G60" s="17">
        <v>1520035.4590317106</v>
      </c>
      <c r="H60" s="17">
        <v>73.576600355403897</v>
      </c>
      <c r="I60" s="11">
        <f>Hor(C60,D60,HOR_ARRAY,"W")</f>
        <v>204.51932635104782</v>
      </c>
      <c r="J60" s="12" t="str">
        <f>DegtoDMSStr2(Hor(C60,D60,HOR_ARRAY,"W"))</f>
        <v xml:space="preserve"> 204 - 31 - 9.57</v>
      </c>
      <c r="K60" s="11" t="str">
        <f>HorType(C60,HOR_ARRAY)</f>
        <v>Circular</v>
      </c>
      <c r="L60" s="11" t="str">
        <f>VerType(C60,VER_ARRAY)</f>
        <v>Linear</v>
      </c>
    </row>
    <row r="61" spans="2:12" ht="30" customHeight="1">
      <c r="B61" s="9">
        <v>57</v>
      </c>
      <c r="C61" s="18">
        <f>HorP(F61,G61,HOR_ARRAY,"C",0)</f>
        <v>8600.0000000000582</v>
      </c>
      <c r="D61" s="19">
        <f>HorP(F61,G61,HOR_ARRAY,"O",0)</f>
        <v>0</v>
      </c>
      <c r="E61" s="19">
        <f>H61-ver(C61,VER_ARRAY)</f>
        <v>2.0321522242738865E-12</v>
      </c>
      <c r="F61" s="17">
        <v>662446.80533697584</v>
      </c>
      <c r="G61" s="17">
        <v>1520013.2630080611</v>
      </c>
      <c r="H61" s="17">
        <v>72.701602752137248</v>
      </c>
      <c r="I61" s="11">
        <f>Hor(C61,D61,HOR_ARRAY,"W")</f>
        <v>209.89924831280916</v>
      </c>
      <c r="J61" s="12" t="str">
        <f>DegtoDMSStr2(Hor(C61,D61,HOR_ARRAY,"W"))</f>
        <v xml:space="preserve"> 209 - 53 - 57.29</v>
      </c>
      <c r="K61" s="11" t="str">
        <f>HorType(C61,HOR_ARRAY)</f>
        <v>Clothoid</v>
      </c>
      <c r="L61" s="11" t="str">
        <f>VerType(C61,VER_ARRAY)</f>
        <v>Linear</v>
      </c>
    </row>
    <row r="62" spans="2:12" ht="30" customHeight="1">
      <c r="B62" s="9">
        <v>58</v>
      </c>
      <c r="C62" s="18">
        <f>HorP(F62,G62,HOR_ARRAY,"C",0)</f>
        <v>8625.0000000000218</v>
      </c>
      <c r="D62" s="19">
        <f>HorP(F62,G62,HOR_ARRAY,"O",0)</f>
        <v>0</v>
      </c>
      <c r="E62" s="19">
        <f>H62-ver(C62,VER_ARRAY)</f>
        <v>7.531752999057062E-13</v>
      </c>
      <c r="F62" s="17">
        <v>662433.74060677958</v>
      </c>
      <c r="G62" s="17">
        <v>1519991.9512261152</v>
      </c>
      <c r="H62" s="17">
        <v>71.826605148870598</v>
      </c>
      <c r="I62" s="11">
        <f>Hor(C62,D62,HOR_ARRAY,"W")</f>
        <v>212.63249242615188</v>
      </c>
      <c r="J62" s="12" t="str">
        <f>DegtoDMSStr2(Hor(C62,D62,HOR_ARRAY,"W"))</f>
        <v xml:space="preserve"> 212 - 37 - 56.97</v>
      </c>
      <c r="K62" s="11" t="str">
        <f>HorType(C62,HOR_ARRAY)</f>
        <v>Clothoid</v>
      </c>
      <c r="L62" s="11" t="str">
        <f>VerType(C62,VER_ARRAY)</f>
        <v>Linear</v>
      </c>
    </row>
    <row r="63" spans="2:12" ht="30" customHeight="1">
      <c r="B63" s="9">
        <v>59</v>
      </c>
      <c r="C63" s="18">
        <f>HorP(F63,G63,HOR_ARRAY,"C",0)</f>
        <v>8650.0000000000764</v>
      </c>
      <c r="D63" s="19">
        <f>HorP(F63,G63,HOR_ARRAY,"O",0)</f>
        <v>1.1641532182693481E-10</v>
      </c>
      <c r="E63" s="19">
        <f>H63-ver(C63,VER_ARRAY)</f>
        <v>2.6858515411731787E-12</v>
      </c>
      <c r="F63" s="17">
        <v>662420.17263188353</v>
      </c>
      <c r="G63" s="17">
        <v>1519970.9533908917</v>
      </c>
      <c r="H63" s="17">
        <v>70.951607545603963</v>
      </c>
      <c r="I63" s="11">
        <f>Hor(C63,D63,HOR_ARRAY,"W")</f>
        <v>212.90906935073286</v>
      </c>
      <c r="J63" s="12" t="str">
        <f>DegtoDMSStr2(Hor(C63,D63,HOR_ARRAY,"W"))</f>
        <v xml:space="preserve"> 212 - 54 - 32.65</v>
      </c>
      <c r="K63" s="11" t="str">
        <f>HorType(C63,HOR_ARRAY)</f>
        <v>Linear</v>
      </c>
      <c r="L63" s="11" t="str">
        <f>VerType(C63,VER_ARRAY)</f>
        <v>Linear</v>
      </c>
    </row>
    <row r="64" spans="2:12" ht="30" customHeight="1">
      <c r="B64" s="9">
        <v>60</v>
      </c>
      <c r="C64" s="18">
        <f>HorP(F64,G64,HOR_ARRAY,"C",0)</f>
        <v>8674.9999999998909</v>
      </c>
      <c r="D64" s="19">
        <f>HorP(F64,G64,HOR_ARRAY,"O",0)</f>
        <v>0</v>
      </c>
      <c r="E64" s="19">
        <f>H64-ver(C64,VER_ARRAY)</f>
        <v>-3.808509063674137E-12</v>
      </c>
      <c r="F64" s="17">
        <v>662406.58994604822</v>
      </c>
      <c r="G64" s="17">
        <v>1519949.9650454235</v>
      </c>
      <c r="H64" s="17">
        <v>70.076609942337313</v>
      </c>
      <c r="I64" s="11">
        <f>Hor(C64,D64,HOR_ARRAY,"W")</f>
        <v>212.90906935073286</v>
      </c>
      <c r="J64" s="12" t="str">
        <f>DegtoDMSStr2(Hor(C64,D64,HOR_ARRAY,"W"))</f>
        <v xml:space="preserve"> 212 - 54 - 32.65</v>
      </c>
      <c r="K64" s="11" t="str">
        <f>HorType(C64,HOR_ARRAY)</f>
        <v>Linear</v>
      </c>
      <c r="L64" s="11" t="str">
        <f>VerType(C64,VER_ARRAY)</f>
        <v>Linear</v>
      </c>
    </row>
    <row r="65" spans="2:12" ht="30" customHeight="1">
      <c r="B65" s="9">
        <v>61</v>
      </c>
      <c r="C65" s="18">
        <f>HorP(F65,G65,HOR_ARRAY,"C",0)</f>
        <v>8700.0000000000146</v>
      </c>
      <c r="D65" s="19">
        <f>HorP(F65,G65,HOR_ARRAY,"O",0)</f>
        <v>1.1641532182693481E-10</v>
      </c>
      <c r="E65" s="19">
        <f>H65-ver(C65,VER_ARRAY)</f>
        <v>4.5474735088646412E-13</v>
      </c>
      <c r="F65" s="17">
        <v>662393.00726021291</v>
      </c>
      <c r="G65" s="17">
        <v>1519928.9766999551</v>
      </c>
      <c r="H65" s="17">
        <v>69.231963757325573</v>
      </c>
      <c r="I65" s="11">
        <f>Hor(C65,D65,HOR_ARRAY,"W")</f>
        <v>212.90906935073286</v>
      </c>
      <c r="J65" s="12" t="str">
        <f>DegtoDMSStr2(Hor(C65,D65,HOR_ARRAY,"W"))</f>
        <v xml:space="preserve"> 212 - 54 - 32.65</v>
      </c>
      <c r="K65" s="11" t="str">
        <f>HorType(C65,HOR_ARRAY)</f>
        <v>Linear</v>
      </c>
      <c r="L65" s="11" t="str">
        <f>VerType(C65,VER_ARRAY)</f>
        <v>Parabola</v>
      </c>
    </row>
    <row r="66" spans="2:12" ht="30" customHeight="1">
      <c r="B66" s="9">
        <v>62</v>
      </c>
      <c r="C66" s="18">
        <f>HorP(F66,G66,HOR_ARRAY,"C",0)</f>
        <v>8725.0000000000491</v>
      </c>
      <c r="D66" s="19">
        <f>HorP(F66,G66,HOR_ARRAY,"O",0)</f>
        <v>0</v>
      </c>
      <c r="E66" s="19">
        <f>H66-ver(C66,VER_ARRAY)</f>
        <v>1.4495071809506044E-12</v>
      </c>
      <c r="F66" s="17">
        <v>662379.42457437748</v>
      </c>
      <c r="G66" s="17">
        <v>1519907.9883544866</v>
      </c>
      <c r="H66" s="17">
        <v>68.477854497012487</v>
      </c>
      <c r="I66" s="11">
        <f>Hor(C66,D66,HOR_ARRAY,"W")</f>
        <v>212.90906935073286</v>
      </c>
      <c r="J66" s="12" t="str">
        <f>DegtoDMSStr2(Hor(C66,D66,HOR_ARRAY,"W"))</f>
        <v xml:space="preserve"> 212 - 54 - 32.65</v>
      </c>
      <c r="K66" s="11" t="str">
        <f>HorType(C66,HOR_ARRAY)</f>
        <v>Linear</v>
      </c>
      <c r="L66" s="11" t="str">
        <f>VerType(C66,VER_ARRAY)</f>
        <v>Linear</v>
      </c>
    </row>
    <row r="67" spans="2:12" ht="30" customHeight="1">
      <c r="B67" s="9">
        <v>63</v>
      </c>
      <c r="C67" s="18">
        <f>HorP(F67,G67,HOR_ARRAY,"C",0)</f>
        <v>8749.9999999998236</v>
      </c>
      <c r="D67" s="19">
        <f>HorP(F67,G67,HOR_ARRAY,"O",0)</f>
        <v>2.3283064365386963E-10</v>
      </c>
      <c r="E67" s="19">
        <f>H67-ver(C67,VER_ARRAY)</f>
        <v>-5.2438053899095394E-12</v>
      </c>
      <c r="F67" s="17">
        <v>662365.84188854217</v>
      </c>
      <c r="G67" s="17">
        <v>1519887.0000090185</v>
      </c>
      <c r="H67" s="17">
        <v>67.735352269198302</v>
      </c>
      <c r="I67" s="11">
        <f>Hor(C67,D67,HOR_ARRAY,"W")</f>
        <v>212.90906935073286</v>
      </c>
      <c r="J67" s="12" t="str">
        <f>DegtoDMSStr2(Hor(C67,D67,HOR_ARRAY,"W"))</f>
        <v xml:space="preserve"> 212 - 54 - 32.65</v>
      </c>
      <c r="K67" s="11" t="str">
        <f>HorType(C67,HOR_ARRAY)</f>
        <v>Linear</v>
      </c>
      <c r="L67" s="11" t="str">
        <f>VerType(C67,VER_ARRAY)</f>
        <v>Linear</v>
      </c>
    </row>
    <row r="68" spans="2:12" ht="30" customHeight="1">
      <c r="B68" s="9">
        <v>64</v>
      </c>
      <c r="C68" s="18">
        <f>HorP(F68,G68,HOR_ARRAY,"C",0)</f>
        <v>8775.00000000004</v>
      </c>
      <c r="D68" s="19">
        <f>HorP(F68,G68,HOR_ARRAY,"O",0)</f>
        <v>0</v>
      </c>
      <c r="E68" s="19">
        <f>H68-ver(C68,VER_ARRAY)</f>
        <v>1.1937117960769683E-12</v>
      </c>
      <c r="F68" s="17">
        <v>662352.25920270686</v>
      </c>
      <c r="G68" s="17">
        <v>1519866.01166355</v>
      </c>
      <c r="H68" s="17">
        <v>66.992850041384116</v>
      </c>
      <c r="I68" s="11">
        <f>Hor(C68,D68,HOR_ARRAY,"W")</f>
        <v>212.90906935073286</v>
      </c>
      <c r="J68" s="12" t="str">
        <f>DegtoDMSStr2(Hor(C68,D68,HOR_ARRAY,"W"))</f>
        <v xml:space="preserve"> 212 - 54 - 32.65</v>
      </c>
      <c r="K68" s="11" t="str">
        <f>HorType(C68,HOR_ARRAY)</f>
        <v>Linear</v>
      </c>
      <c r="L68" s="11" t="str">
        <f>VerType(C68,VER_ARRAY)</f>
        <v>Linear</v>
      </c>
    </row>
    <row r="69" spans="2:12" ht="30" customHeight="1">
      <c r="B69" s="9">
        <v>65</v>
      </c>
      <c r="C69" s="18">
        <f>HorP(F69,G69,HOR_ARRAY,"C",0)</f>
        <v>8800.0000000000218</v>
      </c>
      <c r="D69" s="19">
        <f>HorP(F69,G69,HOR_ARRAY,"O",0)</f>
        <v>0</v>
      </c>
      <c r="E69" s="19">
        <f>H69-ver(C69,VER_ARRAY)</f>
        <v>6.3948846218409017E-13</v>
      </c>
      <c r="F69" s="17">
        <v>662338.67651687155</v>
      </c>
      <c r="G69" s="17">
        <v>1519845.0233180816</v>
      </c>
      <c r="H69" s="17">
        <v>66.250347813569917</v>
      </c>
      <c r="I69" s="11">
        <f>Hor(C69,D69,HOR_ARRAY,"W")</f>
        <v>212.90906935073286</v>
      </c>
      <c r="J69" s="12" t="str">
        <f>DegtoDMSStr2(Hor(C69,D69,HOR_ARRAY,"W"))</f>
        <v xml:space="preserve"> 212 - 54 - 32.65</v>
      </c>
      <c r="K69" s="11" t="str">
        <f>HorType(C69,HOR_ARRAY)</f>
        <v>Linear</v>
      </c>
      <c r="L69" s="11" t="str">
        <f>VerType(C69,VER_ARRAY)</f>
        <v>Linear</v>
      </c>
    </row>
    <row r="70" spans="2:12" ht="30" customHeight="1">
      <c r="B70" s="9">
        <v>66</v>
      </c>
      <c r="C70" s="18">
        <f>HorP(F70,G70,HOR_ARRAY,"C",0)</f>
        <v>8824.9999999999654</v>
      </c>
      <c r="D70" s="19">
        <f>HorP(F70,G70,HOR_ARRAY,"O",0)</f>
        <v>0</v>
      </c>
      <c r="E70" s="19">
        <f>H70-ver(C70,VER_ARRAY)</f>
        <v>-1.0231815394945443E-12</v>
      </c>
      <c r="F70" s="17">
        <v>662325.09383103624</v>
      </c>
      <c r="G70" s="17">
        <v>1519824.0349726132</v>
      </c>
      <c r="H70" s="17">
        <v>65.507845585755732</v>
      </c>
      <c r="I70" s="11">
        <f>Hor(C70,D70,HOR_ARRAY,"W")</f>
        <v>212.90906935073286</v>
      </c>
      <c r="J70" s="12" t="str">
        <f>DegtoDMSStr2(Hor(C70,D70,HOR_ARRAY,"W"))</f>
        <v xml:space="preserve"> 212 - 54 - 32.65</v>
      </c>
      <c r="K70" s="11" t="str">
        <f>HorType(C70,HOR_ARRAY)</f>
        <v>Linear</v>
      </c>
      <c r="L70" s="11" t="str">
        <f>VerType(C70,VER_ARRAY)</f>
        <v>Linear</v>
      </c>
    </row>
    <row r="71" spans="2:12" ht="30" customHeight="1">
      <c r="B71" s="9">
        <v>67</v>
      </c>
      <c r="C71" s="18">
        <f>HorP(F71,G71,HOR_ARRAY,"C",0)</f>
        <v>8849.9999999998909</v>
      </c>
      <c r="D71" s="19">
        <f>HorP(F71,G71,HOR_ARRAY,"O",0)</f>
        <v>0</v>
      </c>
      <c r="E71" s="19">
        <f>H71-ver(C71,VER_ARRAY)</f>
        <v>-3.2400748750660568E-12</v>
      </c>
      <c r="F71" s="17">
        <v>662311.51114520093</v>
      </c>
      <c r="G71" s="17">
        <v>1519803.046627145</v>
      </c>
      <c r="H71" s="17">
        <v>64.765343357941546</v>
      </c>
      <c r="I71" s="11">
        <f>Hor(C71,D71,HOR_ARRAY,"W")</f>
        <v>212.90906935073286</v>
      </c>
      <c r="J71" s="12" t="str">
        <f>DegtoDMSStr2(Hor(C71,D71,HOR_ARRAY,"W"))</f>
        <v xml:space="preserve"> 212 - 54 - 32.65</v>
      </c>
      <c r="K71" s="11" t="str">
        <f>HorType(C71,HOR_ARRAY)</f>
        <v>Linear</v>
      </c>
      <c r="L71" s="11" t="str">
        <f>VerType(C71,VER_ARRAY)</f>
        <v>Linear</v>
      </c>
    </row>
    <row r="72" spans="2:12" ht="30" customHeight="1">
      <c r="B72" s="9">
        <v>68</v>
      </c>
      <c r="C72" s="18">
        <f>HorP(F72,G72,HOR_ARRAY,"C",0)</f>
        <v>8874.9999999999327</v>
      </c>
      <c r="D72" s="19">
        <f>HorP(F72,G72,HOR_ARRAY,"O",0)</f>
        <v>0</v>
      </c>
      <c r="E72" s="19">
        <f>H72-ver(C72,VER_ARRAY)</f>
        <v>-2.0037305148434825E-12</v>
      </c>
      <c r="F72" s="17">
        <v>662297.92845936562</v>
      </c>
      <c r="G72" s="17">
        <v>1519782.0582816766</v>
      </c>
      <c r="H72" s="17">
        <v>64.022841130127347</v>
      </c>
      <c r="I72" s="11">
        <f>Hor(C72,D72,HOR_ARRAY,"W")</f>
        <v>212.90906935073286</v>
      </c>
      <c r="J72" s="12" t="str">
        <f>DegtoDMSStr2(Hor(C72,D72,HOR_ARRAY,"W"))</f>
        <v xml:space="preserve"> 212 - 54 - 32.65</v>
      </c>
      <c r="K72" s="11" t="str">
        <f>HorType(C72,HOR_ARRAY)</f>
        <v>Linear</v>
      </c>
      <c r="L72" s="11" t="str">
        <f>VerType(C72,VER_ARRAY)</f>
        <v>Linear</v>
      </c>
    </row>
    <row r="73" spans="2:12" ht="30" customHeight="1">
      <c r="B73" s="9">
        <v>69</v>
      </c>
      <c r="C73" s="18">
        <f>HorP(F73,G73,HOR_ARRAY,"C",0)</f>
        <v>8900.0000000000546</v>
      </c>
      <c r="D73" s="19">
        <f>HorP(F73,G73,HOR_ARRAY,"O",0)</f>
        <v>0</v>
      </c>
      <c r="E73" s="19">
        <f>H73-ver(C73,VER_ARRAY)</f>
        <v>1.6200374375330284E-12</v>
      </c>
      <c r="F73" s="17">
        <v>662284.34577353031</v>
      </c>
      <c r="G73" s="17">
        <v>1519761.0699362082</v>
      </c>
      <c r="H73" s="17">
        <v>63.280338902313161</v>
      </c>
      <c r="I73" s="11">
        <f>Hor(C73,D73,HOR_ARRAY,"W")</f>
        <v>212.90906935073286</v>
      </c>
      <c r="J73" s="12" t="str">
        <f>DegtoDMSStr2(Hor(C73,D73,HOR_ARRAY,"W"))</f>
        <v xml:space="preserve"> 212 - 54 - 32.65</v>
      </c>
      <c r="K73" s="11" t="str">
        <f>HorType(C73,HOR_ARRAY)</f>
        <v>Linear</v>
      </c>
      <c r="L73" s="11" t="str">
        <f>VerType(C73,VER_ARRAY)</f>
        <v>Linear</v>
      </c>
    </row>
    <row r="74" spans="2:12" ht="30" customHeight="1">
      <c r="B74" s="9">
        <v>70</v>
      </c>
      <c r="C74" s="18">
        <f>HorP(F74,G74,HOR_ARRAY,"C",0)</f>
        <v>8925.0000000000091</v>
      </c>
      <c r="D74" s="19">
        <f>HorP(F74,G74,HOR_ARRAY,"O",0)</f>
        <v>1.1641532182693481E-10</v>
      </c>
      <c r="E74" s="19">
        <f>H74-ver(C74,VER_ARRAY)</f>
        <v>2.7000623958883807E-13</v>
      </c>
      <c r="F74" s="17">
        <v>662270.763087695</v>
      </c>
      <c r="G74" s="17">
        <v>1519740.0815907398</v>
      </c>
      <c r="H74" s="17">
        <v>62.537836674498969</v>
      </c>
      <c r="I74" s="11">
        <f>Hor(C74,D74,HOR_ARRAY,"W")</f>
        <v>212.90906935073286</v>
      </c>
      <c r="J74" s="12" t="str">
        <f>DegtoDMSStr2(Hor(C74,D74,HOR_ARRAY,"W"))</f>
        <v xml:space="preserve"> 212 - 54 - 32.65</v>
      </c>
      <c r="K74" s="11" t="str">
        <f>HorType(C74,HOR_ARRAY)</f>
        <v>Linear</v>
      </c>
      <c r="L74" s="11" t="str">
        <f>VerType(C74,VER_ARRAY)</f>
        <v>Linear</v>
      </c>
    </row>
    <row r="75" spans="2:12" ht="30" customHeight="1">
      <c r="B75" s="9">
        <v>71</v>
      </c>
      <c r="C75" s="18">
        <f>HorP(F75,G75,HOR_ARRAY,"C",0)</f>
        <v>8949.9999999999181</v>
      </c>
      <c r="D75" s="19">
        <f>HorP(F75,G75,HOR_ARRAY,"O",0)</f>
        <v>0</v>
      </c>
      <c r="E75" s="19">
        <f>H75-ver(C75,VER_ARRAY)</f>
        <v>-2.2524204723595176E-12</v>
      </c>
      <c r="F75" s="17">
        <v>662257.18040185969</v>
      </c>
      <c r="G75" s="17">
        <v>1519719.0932452716</v>
      </c>
      <c r="H75" s="17">
        <v>61.805865714797683</v>
      </c>
      <c r="I75" s="11">
        <f>Hor(C75,D75,HOR_ARRAY,"W")</f>
        <v>212.90906935073286</v>
      </c>
      <c r="J75" s="12" t="str">
        <f>DegtoDMSStr2(Hor(C75,D75,HOR_ARRAY,"W"))</f>
        <v xml:space="preserve"> 212 - 54 - 32.65</v>
      </c>
      <c r="K75" s="11" t="str">
        <f>HorType(C75,HOR_ARRAY)</f>
        <v>Linear</v>
      </c>
      <c r="L75" s="11" t="str">
        <f>VerType(C75,VER_ARRAY)</f>
        <v>Parabola</v>
      </c>
    </row>
    <row r="76" spans="2:12" ht="30" customHeight="1">
      <c r="B76" s="9">
        <v>72</v>
      </c>
      <c r="C76" s="18">
        <f>HorP(F76,G76,HOR_ARRAY,"C",0)</f>
        <v>8975.0000000000091</v>
      </c>
      <c r="D76" s="19">
        <f>HorP(F76,G76,HOR_ARRAY,"O",0)</f>
        <v>0</v>
      </c>
      <c r="E76" s="19">
        <f>H76-ver(C76,VER_ARRAY)</f>
        <v>1.9184653865522705E-13</v>
      </c>
      <c r="F76" s="17">
        <v>662243.60153312469</v>
      </c>
      <c r="G76" s="17">
        <v>1519698.1024328216</v>
      </c>
      <c r="H76" s="17">
        <v>61.189598575356413</v>
      </c>
      <c r="I76" s="11">
        <f>Hor(C76,D76,HOR_ARRAY,"W")</f>
        <v>212.79333527518773</v>
      </c>
      <c r="J76" s="12" t="str">
        <f>DegtoDMSStr2(Hor(C76,D76,HOR_ARRAY,"W"))</f>
        <v xml:space="preserve"> 212 - 47 - 36.01</v>
      </c>
      <c r="K76" s="11" t="str">
        <f>HorType(C76,HOR_ARRAY)</f>
        <v>Clothoid</v>
      </c>
      <c r="L76" s="11" t="str">
        <f>VerType(C76,VER_ARRAY)</f>
        <v>Parabola</v>
      </c>
    </row>
    <row r="77" spans="2:12" ht="30" customHeight="1">
      <c r="B77" s="9">
        <v>73</v>
      </c>
      <c r="C77" s="18">
        <f>HorP(F77,G77,HOR_ARRAY,"C",0)</f>
        <v>8999.9999999999745</v>
      </c>
      <c r="D77" s="19">
        <f>HorP(F77,G77,HOR_ARRAY,"O",0)</f>
        <v>0</v>
      </c>
      <c r="E77" s="19">
        <f>H77-ver(C77,VER_ARRAY)</f>
        <v>-4.1211478674085811E-13</v>
      </c>
      <c r="F77" s="17">
        <v>662230.41743430402</v>
      </c>
      <c r="G77" s="17">
        <v>1519676.863767294</v>
      </c>
      <c r="H77" s="17">
        <v>60.716120325879416</v>
      </c>
      <c r="I77" s="11">
        <f>Hor(C77,D77,HOR_ARRAY,"W")</f>
        <v>210.33440451630619</v>
      </c>
      <c r="J77" s="12" t="str">
        <f>DegtoDMSStr2(Hor(C77,D77,HOR_ARRAY,"W"))</f>
        <v xml:space="preserve"> 210 - 20 - 3.86</v>
      </c>
      <c r="K77" s="11" t="str">
        <f>HorType(C77,HOR_ARRAY)</f>
        <v>Clothoid</v>
      </c>
      <c r="L77" s="11" t="str">
        <f>VerType(C77,VER_ARRAY)</f>
        <v>Parabola</v>
      </c>
    </row>
    <row r="78" spans="2:12" ht="30" customHeight="1">
      <c r="B78" s="9">
        <v>74</v>
      </c>
      <c r="C78" s="18">
        <f>HorP(F78,G78,HOR_ARRAY,"C",0)</f>
        <v>9025.0000000000055</v>
      </c>
      <c r="D78" s="19">
        <f>HorP(F78,G78,HOR_ARRAY,"O",0)</f>
        <v>0</v>
      </c>
      <c r="E78" s="19">
        <f>H78-ver(C78,VER_ARRAY)</f>
        <v>5.6843418860808015E-14</v>
      </c>
      <c r="F78" s="17">
        <v>662218.71046992065</v>
      </c>
      <c r="G78" s="17">
        <v>1519654.7832944598</v>
      </c>
      <c r="H78" s="17">
        <v>60.385430966366691</v>
      </c>
      <c r="I78" s="11">
        <f>Hor(C78,D78,HOR_ARRAY,"W")</f>
        <v>205.39379412741761</v>
      </c>
      <c r="J78" s="12" t="str">
        <f>DegtoDMSStr2(Hor(C78,D78,HOR_ARRAY,"W"))</f>
        <v xml:space="preserve"> 205 - 23 - 37.66</v>
      </c>
      <c r="K78" s="11" t="str">
        <f>HorType(C78,HOR_ARRAY)</f>
        <v>Circular</v>
      </c>
      <c r="L78" s="11" t="str">
        <f>VerType(C78,VER_ARRAY)</f>
        <v>Parabola</v>
      </c>
    </row>
    <row r="79" spans="2:12" ht="30" customHeight="1">
      <c r="B79" s="9">
        <v>75</v>
      </c>
      <c r="C79" s="18">
        <f>HorP(F79,G79,HOR_ARRAY,"C",0)</f>
        <v>9049.9999999997999</v>
      </c>
      <c r="D79" s="19">
        <f>HorP(F79,G79,HOR_ARRAY,"O",0)</f>
        <v>2.3283064365386963E-10</v>
      </c>
      <c r="E79" s="19">
        <f>H79-ver(C79,VER_ARRAY)</f>
        <v>-9.3081098384573124E-13</v>
      </c>
      <c r="F79" s="17">
        <v>662209.01134311501</v>
      </c>
      <c r="G79" s="17">
        <v>1519631.7504517266</v>
      </c>
      <c r="H79" s="17">
        <v>60.197530496818224</v>
      </c>
      <c r="I79" s="11">
        <f>Hor(C79,D79,HOR_ARRAY,"W")</f>
        <v>200.27809967043447</v>
      </c>
      <c r="J79" s="12" t="str">
        <f>DegtoDMSStr2(Hor(C79,D79,HOR_ARRAY,"W"))</f>
        <v xml:space="preserve"> 200 - 16 - 41.16</v>
      </c>
      <c r="K79" s="11" t="str">
        <f>HorType(C79,HOR_ARRAY)</f>
        <v>Circular</v>
      </c>
      <c r="L79" s="11" t="str">
        <f>VerType(C79,VER_ARRAY)</f>
        <v>Parabola</v>
      </c>
    </row>
    <row r="80" spans="2:12" ht="30" customHeight="1">
      <c r="B80" s="9">
        <v>76</v>
      </c>
      <c r="C80" s="18">
        <f>HorP(F80,G80,HOR_ARRAY,"C",0)</f>
        <v>9075.0000000000782</v>
      </c>
      <c r="D80" s="19">
        <f>HorP(F80,G80,HOR_ARRAY,"O",0)</f>
        <v>1.1641532182693481E-10</v>
      </c>
      <c r="E80" s="19">
        <f>H80-ver(C80,VER_ARRAY)</f>
        <v>0</v>
      </c>
      <c r="F80" s="17">
        <v>662201.39687021589</v>
      </c>
      <c r="G80" s="17">
        <v>1519607.9466809854</v>
      </c>
      <c r="H80" s="17">
        <v>60.15</v>
      </c>
      <c r="I80" s="11">
        <f>Hor(C80,D80,HOR_ARRAY,"W")</f>
        <v>195.33230734826915</v>
      </c>
      <c r="J80" s="12" t="str">
        <f>DegtoDMSStr2(Hor(C80,D80,HOR_ARRAY,"W"))</f>
        <v xml:space="preserve"> 195 - 19 - 56.31</v>
      </c>
      <c r="K80" s="11" t="str">
        <f>HorType(C80,HOR_ARRAY)</f>
        <v>Clothoid</v>
      </c>
      <c r="L80" s="11" t="str">
        <f>VerType(C80,VER_ARRAY)</f>
        <v>Linear</v>
      </c>
    </row>
    <row r="81" spans="2:12" ht="30" customHeight="1">
      <c r="B81" s="9">
        <v>77</v>
      </c>
      <c r="C81" s="18">
        <f>HorP(F81,G81,HOR_ARRAY,"C",0)</f>
        <v>9100.0000000001237</v>
      </c>
      <c r="D81" s="19">
        <f>HorP(F81,G81,HOR_ARRAY,"O",0)</f>
        <v>0</v>
      </c>
      <c r="E81" s="19">
        <f>H81-ver(C81,VER_ARRAY)</f>
        <v>0</v>
      </c>
      <c r="F81" s="17">
        <v>662195.42193316738</v>
      </c>
      <c r="G81" s="17">
        <v>1519583.6732331889</v>
      </c>
      <c r="H81" s="17">
        <v>60.15</v>
      </c>
      <c r="I81" s="11">
        <f>Hor(C81,D81,HOR_ARRAY,"W")</f>
        <v>192.85760385582253</v>
      </c>
      <c r="J81" s="12" t="str">
        <f>DegtoDMSStr2(Hor(C81,D81,HOR_ARRAY,"W"))</f>
        <v xml:space="preserve"> 192 - 51 - 27.37</v>
      </c>
      <c r="K81" s="11" t="str">
        <f>HorType(C81,HOR_ARRAY)</f>
        <v>Clothoid</v>
      </c>
      <c r="L81" s="11" t="str">
        <f>VerType(C81,VER_ARRAY)</f>
        <v>Linear</v>
      </c>
    </row>
    <row r="82" spans="2:12" ht="30" customHeight="1">
      <c r="B82" s="9">
        <v>78</v>
      </c>
      <c r="C82" s="18">
        <f>HorP(F82,G82,HOR_ARRAY,"C",0)</f>
        <v>9125.0000000000273</v>
      </c>
      <c r="D82" s="19">
        <f>HorP(F82,G82,HOR_ARRAY,"O",0)</f>
        <v>0</v>
      </c>
      <c r="E82" s="19">
        <f>H82-ver(C82,VER_ARRAY)</f>
        <v>0</v>
      </c>
      <c r="F82" s="17">
        <v>662189.90511845483</v>
      </c>
      <c r="G82" s="17">
        <v>1519559.2895371162</v>
      </c>
      <c r="H82" s="17">
        <v>60.15</v>
      </c>
      <c r="I82" s="11">
        <f>Hor(C82,D82,HOR_ARRAY,"W")</f>
        <v>192.73758713414855</v>
      </c>
      <c r="J82" s="12" t="str">
        <f>DegtoDMSStr2(Hor(C82,D82,HOR_ARRAY,"W"))</f>
        <v xml:space="preserve"> 192 - 44 - 15.31</v>
      </c>
      <c r="K82" s="11" t="str">
        <f>HorType(C82,HOR_ARRAY)</f>
        <v>Linear</v>
      </c>
      <c r="L82" s="11" t="str">
        <f>VerType(C82,VER_ARRAY)</f>
        <v>Linear</v>
      </c>
    </row>
    <row r="83" spans="2:12" ht="30" customHeight="1">
      <c r="B83" s="9">
        <v>79</v>
      </c>
      <c r="C83" s="18">
        <f>HorP(F83,G83,HOR_ARRAY,"C",0)</f>
        <v>9150.0000000001164</v>
      </c>
      <c r="D83" s="19">
        <f>HorP(F83,G83,HOR_ARRAY,"O",0)</f>
        <v>0</v>
      </c>
      <c r="E83" s="19">
        <f>H83-ver(C83,VER_ARRAY)</f>
        <v>-1.2789769243681803E-13</v>
      </c>
      <c r="F83" s="17">
        <v>662184.30892313272</v>
      </c>
      <c r="G83" s="17">
        <v>1519534.9241640731</v>
      </c>
      <c r="H83" s="17">
        <v>60.161092760302203</v>
      </c>
      <c r="I83" s="11">
        <f>Hor(C83,D83,HOR_ARRAY,"W")</f>
        <v>193.56285801779174</v>
      </c>
      <c r="J83" s="12" t="str">
        <f>DegtoDMSStr2(Hor(C83,D83,HOR_ARRAY,"W"))</f>
        <v xml:space="preserve"> 193 - 33 - 46.29</v>
      </c>
      <c r="K83" s="11" t="str">
        <f>HorType(C83,HOR_ARRAY)</f>
        <v>Clothoid</v>
      </c>
      <c r="L83" s="11" t="str">
        <f>VerType(C83,VER_ARRAY)</f>
        <v>Parabola</v>
      </c>
    </row>
    <row r="84" spans="2:12" ht="30" customHeight="1">
      <c r="B84" s="9">
        <v>80</v>
      </c>
      <c r="C84" s="18">
        <f>HorP(F84,G84,HOR_ARRAY,"C",0)</f>
        <v>9174.9999999999982</v>
      </c>
      <c r="D84" s="19">
        <f>HorP(F84,G84,HOR_ARRAY,"O",0)</f>
        <v>0</v>
      </c>
      <c r="E84" s="19">
        <f>H84-ver(C84,VER_ARRAY)</f>
        <v>0</v>
      </c>
      <c r="F84" s="17">
        <v>662177.73717757489</v>
      </c>
      <c r="G84" s="17">
        <v>1519510.8084145198</v>
      </c>
      <c r="H84" s="17">
        <v>60.204224014597052</v>
      </c>
      <c r="I84" s="11">
        <f>Hor(C84,D84,HOR_ARRAY,"W")</f>
        <v>197.4363031199909</v>
      </c>
      <c r="J84" s="12" t="str">
        <f>DegtoDMSStr2(Hor(C84,D84,HOR_ARRAY,"W"))</f>
        <v xml:space="preserve"> 197 - 26 - 10.69</v>
      </c>
      <c r="K84" s="11" t="str">
        <f>HorType(C84,HOR_ARRAY)</f>
        <v>Circular</v>
      </c>
      <c r="L84" s="11" t="str">
        <f>VerType(C84,VER_ARRAY)</f>
        <v>Parabola</v>
      </c>
    </row>
    <row r="85" spans="2:12" ht="30" customHeight="1">
      <c r="B85" s="9">
        <v>81</v>
      </c>
      <c r="C85" s="18">
        <f>HorP(F85,G85,HOR_ARRAY,"C",0)</f>
        <v>9200.0000000000018</v>
      </c>
      <c r="D85" s="19">
        <f>HorP(F85,G85,HOR_ARRAY,"O",0)</f>
        <v>0</v>
      </c>
      <c r="E85" s="19">
        <f>H85-ver(C85,VER_ARRAY)</f>
        <v>0</v>
      </c>
      <c r="F85" s="17">
        <v>662169.19190930983</v>
      </c>
      <c r="G85" s="17">
        <v>1519487.3230297996</v>
      </c>
      <c r="H85" s="17">
        <v>60.268794560210168</v>
      </c>
      <c r="I85" s="11">
        <f>Hor(C85,D85,HOR_ARRAY,"W")</f>
        <v>202.55199757701681</v>
      </c>
      <c r="J85" s="12" t="str">
        <f>DegtoDMSStr2(Hor(C85,D85,HOR_ARRAY,"W"))</f>
        <v xml:space="preserve"> 202 - 33 - 7.19</v>
      </c>
      <c r="K85" s="11" t="str">
        <f>HorType(C85,HOR_ARRAY)</f>
        <v>Circular</v>
      </c>
      <c r="L85" s="11" t="str">
        <f>VerType(C85,VER_ARRAY)</f>
        <v>Linear</v>
      </c>
    </row>
    <row r="86" spans="2:12" ht="30" customHeight="1">
      <c r="B86" s="9">
        <v>82</v>
      </c>
      <c r="C86" s="18">
        <f>HorP(F86,G86,HOR_ARRAY,"C",0)</f>
        <v>9224.9999999999109</v>
      </c>
      <c r="D86" s="19">
        <f>HorP(F86,G86,HOR_ARRAY,"O",0)</f>
        <v>0</v>
      </c>
      <c r="E86" s="19">
        <f>H86-ver(C86,VER_ARRAY)</f>
        <v>2.3447910280083306E-13</v>
      </c>
      <c r="F86" s="17">
        <v>662158.5865552125</v>
      </c>
      <c r="G86" s="17">
        <v>1519464.6931519909</v>
      </c>
      <c r="H86" s="17">
        <v>60.333858663451124</v>
      </c>
      <c r="I86" s="11">
        <f>Hor(C86,D86,HOR_ARRAY,"W")</f>
        <v>207.66769203402339</v>
      </c>
      <c r="J86" s="12" t="str">
        <f>DegtoDMSStr2(Hor(C86,D86,HOR_ARRAY,"W"))</f>
        <v xml:space="preserve"> 207 - 40 - 3.69</v>
      </c>
      <c r="K86" s="11" t="str">
        <f>HorType(C86,HOR_ARRAY)</f>
        <v>Circular</v>
      </c>
      <c r="L86" s="11" t="str">
        <f>VerType(C86,VER_ARRAY)</f>
        <v>Linear</v>
      </c>
    </row>
    <row r="87" spans="2:12" ht="30" customHeight="1">
      <c r="B87" s="9">
        <v>83</v>
      </c>
      <c r="C87" s="18">
        <f>HorP(F87,G87,HOR_ARRAY,"C",0)</f>
        <v>9249.9999999999709</v>
      </c>
      <c r="D87" s="19">
        <f>HorP(F87,G87,HOR_ARRAY,"O",0)</f>
        <v>0</v>
      </c>
      <c r="E87" s="19">
        <f>H87-ver(C87,VER_ARRAY)</f>
        <v>7.815970093361102E-14</v>
      </c>
      <c r="F87" s="17">
        <v>662146.00560436561</v>
      </c>
      <c r="G87" s="17">
        <v>1519443.099065278</v>
      </c>
      <c r="H87" s="17">
        <v>60.398922766692081</v>
      </c>
      <c r="I87" s="11">
        <f>Hor(C87,D87,HOR_ARRAY,"W")</f>
        <v>212.78338649106087</v>
      </c>
      <c r="J87" s="12" t="str">
        <f>DegtoDMSStr2(Hor(C87,D87,HOR_ARRAY,"W"))</f>
        <v xml:space="preserve"> 212 - 47 - 0.19</v>
      </c>
      <c r="K87" s="11" t="str">
        <f>HorType(C87,HOR_ARRAY)</f>
        <v>Circular</v>
      </c>
      <c r="L87" s="11" t="str">
        <f>VerType(C87,VER_ARRAY)</f>
        <v>Linear</v>
      </c>
    </row>
    <row r="88" spans="2:12" ht="30" customHeight="1">
      <c r="B88" s="9">
        <v>84</v>
      </c>
      <c r="C88" s="18">
        <f>HorP(F88,G88,HOR_ARRAY,"C",0)</f>
        <v>9274.9999999999509</v>
      </c>
      <c r="D88" s="19">
        <f>HorP(F88,G88,HOR_ARRAY,"O",0)</f>
        <v>0</v>
      </c>
      <c r="E88" s="19">
        <f>H88-ver(C88,VER_ARRAY)</f>
        <v>1.2789769243681803E-13</v>
      </c>
      <c r="F88" s="17">
        <v>662131.54928472836</v>
      </c>
      <c r="G88" s="17">
        <v>1519422.7128020667</v>
      </c>
      <c r="H88" s="17">
        <v>60.463986869933031</v>
      </c>
      <c r="I88" s="11">
        <f>Hor(C88,D88,HOR_ARRAY,"W")</f>
        <v>217.89908094808195</v>
      </c>
      <c r="J88" s="12" t="str">
        <f>DegtoDMSStr2(Hor(C88,D88,HOR_ARRAY,"W"))</f>
        <v xml:space="preserve"> 217 - 53 - 56.69</v>
      </c>
      <c r="K88" s="11" t="str">
        <f>HorType(C88,HOR_ARRAY)</f>
        <v>Circular</v>
      </c>
      <c r="L88" s="11" t="str">
        <f>VerType(C88,VER_ARRAY)</f>
        <v>Linear</v>
      </c>
    </row>
    <row r="89" spans="2:12" ht="30" customHeight="1">
      <c r="B89" s="9">
        <v>85</v>
      </c>
      <c r="C89" s="18">
        <f>HorP(F89,G89,HOR_ARRAY,"C",0)</f>
        <v>9299.9999999999927</v>
      </c>
      <c r="D89" s="19">
        <f>HorP(F89,G89,HOR_ARRAY,"O",0)</f>
        <v>0</v>
      </c>
      <c r="E89" s="19">
        <f>H89-ver(C89,VER_ARRAY)</f>
        <v>0</v>
      </c>
      <c r="F89" s="17">
        <v>662115.33276465558</v>
      </c>
      <c r="G89" s="17">
        <v>1519403.6967724627</v>
      </c>
      <c r="H89" s="17">
        <v>60.529050973173987</v>
      </c>
      <c r="I89" s="11">
        <f>Hor(C89,D89,HOR_ARRAY,"W")</f>
        <v>223.0147754051157</v>
      </c>
      <c r="J89" s="12" t="str">
        <f>DegtoDMSStr2(Hor(C89,D89,HOR_ARRAY,"W"))</f>
        <v xml:space="preserve"> 223 - 0 - 53.19</v>
      </c>
      <c r="K89" s="11" t="str">
        <f>HorType(C89,HOR_ARRAY)</f>
        <v>Circular</v>
      </c>
      <c r="L89" s="11" t="str">
        <f>VerType(C89,VER_ARRAY)</f>
        <v>Linear</v>
      </c>
    </row>
    <row r="90" spans="2:12" ht="30" customHeight="1">
      <c r="B90" s="9">
        <v>86</v>
      </c>
      <c r="C90" s="18">
        <f>HorP(F90,G90,HOR_ARRAY,"C",0)</f>
        <v>9325.0000000000273</v>
      </c>
      <c r="D90" s="19">
        <f>HorP(F90,G90,HOR_ARRAY,"O",0)</f>
        <v>1.1641532182693481E-10</v>
      </c>
      <c r="E90" s="19">
        <f>H90-ver(C90,VER_ARRAY)</f>
        <v>-7.1054273576010019E-14</v>
      </c>
      <c r="F90" s="17">
        <v>662097.55713498418</v>
      </c>
      <c r="G90" s="17">
        <v>1519386.1257339455</v>
      </c>
      <c r="H90" s="17">
        <v>60.594115076414944</v>
      </c>
      <c r="I90" s="11">
        <f>Hor(C90,D90,HOR_ARRAY,"W")</f>
        <v>227.18858600492726</v>
      </c>
      <c r="J90" s="12" t="str">
        <f>DegtoDMSStr2(Hor(C90,D90,HOR_ARRAY,"W"))</f>
        <v xml:space="preserve"> 227 - 11 - 18.91</v>
      </c>
      <c r="K90" s="11" t="str">
        <f>HorType(C90,HOR_ARRAY)</f>
        <v>Clothoid</v>
      </c>
      <c r="L90" s="11" t="str">
        <f>VerType(C90,VER_ARRAY)</f>
        <v>Linear</v>
      </c>
    </row>
    <row r="91" spans="2:12" ht="30" customHeight="1">
      <c r="B91" s="9">
        <v>87</v>
      </c>
      <c r="C91" s="18">
        <f>HorP(F91,G91,HOR_ARRAY,"C",0)</f>
        <v>9350.0000000000455</v>
      </c>
      <c r="D91" s="19">
        <f>HorP(F91,G91,HOR_ARRAY,"O",0)</f>
        <v>0</v>
      </c>
      <c r="E91" s="19">
        <f>H91-ver(C91,VER_ARRAY)</f>
        <v>-1.2079226507921703E-13</v>
      </c>
      <c r="F91" s="17">
        <v>662078.98204965261</v>
      </c>
      <c r="G91" s="17">
        <v>1519369.3941682249</v>
      </c>
      <c r="H91" s="17">
        <v>60.659179179655901</v>
      </c>
      <c r="I91" s="11">
        <f>Hor(C91,D91,HOR_ARRAY,"W")</f>
        <v>228.29633959622265</v>
      </c>
      <c r="J91" s="12" t="str">
        <f>DegtoDMSStr2(Hor(C91,D91,HOR_ARRAY,"W"))</f>
        <v xml:space="preserve"> 228 - 17 - 46.82</v>
      </c>
      <c r="K91" s="11" t="str">
        <f>HorType(C91,HOR_ARRAY)</f>
        <v>Linear</v>
      </c>
      <c r="L91" s="11" t="str">
        <f>VerType(C91,VER_ARRAY)</f>
        <v>Linear</v>
      </c>
    </row>
    <row r="92" spans="2:12" ht="30" customHeight="1">
      <c r="B92" s="9">
        <v>88</v>
      </c>
      <c r="C92" s="18">
        <f>HorP(F92,G92,HOR_ARRAY,"C",0)</f>
        <v>9374.9999999999927</v>
      </c>
      <c r="D92" s="19">
        <f>HorP(F92,G92,HOR_ARRAY,"O",0)</f>
        <v>0</v>
      </c>
      <c r="E92" s="19">
        <f>H92-ver(C92,VER_ARRAY)</f>
        <v>8.5265128291212022E-14</v>
      </c>
      <c r="F92" s="17">
        <v>662060.31719426229</v>
      </c>
      <c r="G92" s="17">
        <v>1519352.7621757661</v>
      </c>
      <c r="H92" s="17">
        <v>60.816254583506677</v>
      </c>
      <c r="I92" s="11">
        <f>Hor(C92,D92,HOR_ARRAY,"W")</f>
        <v>228.29058521868359</v>
      </c>
      <c r="J92" s="12" t="str">
        <f>DegtoDMSStr2(Hor(C92,D92,HOR_ARRAY,"W"))</f>
        <v xml:space="preserve"> 228 - 17 - 26.11</v>
      </c>
      <c r="K92" s="11" t="str">
        <f>HorType(C92,HOR_ARRAY)</f>
        <v>Clothoid</v>
      </c>
      <c r="L92" s="11" t="str">
        <f>VerType(C92,VER_ARRAY)</f>
        <v>Parabola</v>
      </c>
    </row>
    <row r="93" spans="2:12" ht="30" customHeight="1">
      <c r="B93" s="9">
        <v>89</v>
      </c>
      <c r="C93" s="18">
        <f>HorP(F93,G93,HOR_ARRAY,"C",0)</f>
        <v>9400.0000000000382</v>
      </c>
      <c r="D93" s="19">
        <f>HorP(F93,G93,HOR_ARRAY,"O",0)</f>
        <v>0</v>
      </c>
      <c r="E93" s="19">
        <f>H93-ver(C93,VER_ARRAY)</f>
        <v>-8.1001871876651421E-13</v>
      </c>
      <c r="F93" s="17">
        <v>662041.75115343917</v>
      </c>
      <c r="G93" s="17">
        <v>1519336.0203806548</v>
      </c>
      <c r="H93" s="17">
        <v>61.222335133634658</v>
      </c>
      <c r="I93" s="11">
        <f>Hor(C93,D93,HOR_ARRAY,"W")</f>
        <v>227.35947112945487</v>
      </c>
      <c r="J93" s="12" t="str">
        <f>DegtoDMSStr2(Hor(C93,D93,HOR_ARRAY,"W"))</f>
        <v xml:space="preserve"> 227 - 21 - 34.1</v>
      </c>
      <c r="K93" s="11" t="str">
        <f>HorType(C93,HOR_ARRAY)</f>
        <v>Clothoid</v>
      </c>
      <c r="L93" s="11" t="str">
        <f>VerType(C93,VER_ARRAY)</f>
        <v>Parabola</v>
      </c>
    </row>
    <row r="94" spans="2:12" ht="30" customHeight="1">
      <c r="B94" s="9">
        <v>90</v>
      </c>
      <c r="C94" s="18">
        <f>HorP(F94,G94,HOR_ARRAY,"C",0)</f>
        <v>9424.9999999999782</v>
      </c>
      <c r="D94" s="19">
        <f>HorP(F94,G94,HOR_ARRAY,"O",0)</f>
        <v>0</v>
      </c>
      <c r="E94" s="19">
        <f>H94-ver(C94,VER_ARRAY)</f>
        <v>6.8922645368729718E-13</v>
      </c>
      <c r="F94" s="17">
        <v>662023.6992771728</v>
      </c>
      <c r="G94" s="17">
        <v>1519318.727948131</v>
      </c>
      <c r="H94" s="17">
        <v>61.880060852325073</v>
      </c>
      <c r="I94" s="11">
        <f>Hor(C94,D94,HOR_ARRAY,"W")</f>
        <v>224.84256211733742</v>
      </c>
      <c r="J94" s="12" t="str">
        <f>DegtoDMSStr2(Hor(C94,D94,HOR_ARRAY,"W"))</f>
        <v xml:space="preserve"> 224 - 50 - 33.22</v>
      </c>
      <c r="K94" s="11" t="str">
        <f>HorType(C94,HOR_ARRAY)</f>
        <v>Circular</v>
      </c>
      <c r="L94" s="11" t="str">
        <f>VerType(C94,VER_ARRAY)</f>
        <v>Parabola</v>
      </c>
    </row>
    <row r="95" spans="2:12" ht="30" customHeight="1">
      <c r="B95" s="9">
        <v>91</v>
      </c>
      <c r="C95" s="18">
        <f>HorP(F95,G95,HOR_ARRAY,"C",0)</f>
        <v>9449.9999999999018</v>
      </c>
      <c r="D95" s="19">
        <f>HorP(F95,G95,HOR_ARRAY,"O",0)</f>
        <v>0</v>
      </c>
      <c r="E95" s="19">
        <f>H95-ver(C95,VER_ARRAY)</f>
        <v>3.2258640203508548E-12</v>
      </c>
      <c r="F95" s="17">
        <v>662006.57158141921</v>
      </c>
      <c r="G95" s="17">
        <v>1519300.521320116</v>
      </c>
      <c r="H95" s="17">
        <v>62.697420438968095</v>
      </c>
      <c r="I95" s="11">
        <f>Hor(C95,D95,HOR_ARRAY,"W")</f>
        <v>221.65946334408704</v>
      </c>
      <c r="J95" s="12" t="str">
        <f>DegtoDMSStr2(Hor(C95,D95,HOR_ARRAY,"W"))</f>
        <v xml:space="preserve"> 221 - 39 - 34.07</v>
      </c>
      <c r="K95" s="11" t="str">
        <f>HorType(C95,HOR_ARRAY)</f>
        <v>Circular</v>
      </c>
      <c r="L95" s="11" t="str">
        <f>VerType(C95,VER_ARRAY)</f>
        <v>Linear</v>
      </c>
    </row>
    <row r="96" spans="2:12" ht="30" customHeight="1">
      <c r="B96" s="9">
        <v>92</v>
      </c>
      <c r="C96" s="18">
        <f>HorP(F96,G96,HOR_ARRAY,"C",0)</f>
        <v>9475.0000000000327</v>
      </c>
      <c r="D96" s="19">
        <f>HorP(F96,G96,HOR_ARRAY,"O",0)</f>
        <v>0</v>
      </c>
      <c r="E96" s="19">
        <f>H96-ver(C96,VER_ARRAY)</f>
        <v>-1.0729195309977513E-12</v>
      </c>
      <c r="F96" s="17">
        <v>661990.48126960348</v>
      </c>
      <c r="G96" s="17">
        <v>1519281.3917322692</v>
      </c>
      <c r="H96" s="17">
        <v>63.51742004789633</v>
      </c>
      <c r="I96" s="11">
        <f>Hor(C96,D96,HOR_ARRAY,"W")</f>
        <v>218.47636457081023</v>
      </c>
      <c r="J96" s="12" t="str">
        <f>DegtoDMSStr2(Hor(C96,D96,HOR_ARRAY,"W"))</f>
        <v xml:space="preserve"> 218 - 28 - 34.91</v>
      </c>
      <c r="K96" s="11" t="str">
        <f>HorType(C96,HOR_ARRAY)</f>
        <v>Circular</v>
      </c>
      <c r="L96" s="11" t="str">
        <f>VerType(C96,VER_ARRAY)</f>
        <v>Linear</v>
      </c>
    </row>
    <row r="97" spans="2:12" ht="30" customHeight="1">
      <c r="B97" s="9">
        <v>93</v>
      </c>
      <c r="C97" s="18">
        <f>HorP(F97,G97,HOR_ARRAY,"C",0)</f>
        <v>9500.0000000000055</v>
      </c>
      <c r="D97" s="19">
        <f>HorP(F97,G97,HOR_ARRAY,"O",0)</f>
        <v>1.1641532182693481E-10</v>
      </c>
      <c r="E97" s="19">
        <f>H97-ver(C97,VER_ARRAY)</f>
        <v>-1.8474111129762605E-13</v>
      </c>
      <c r="F97" s="17">
        <v>661975.47556499427</v>
      </c>
      <c r="G97" s="17">
        <v>1519261.3999432926</v>
      </c>
      <c r="H97" s="17">
        <v>64.337419656824565</v>
      </c>
      <c r="I97" s="11">
        <f>Hor(C97,D97,HOR_ARRAY,"W")</f>
        <v>215.36275484111943</v>
      </c>
      <c r="J97" s="12" t="str">
        <f>DegtoDMSStr2(Hor(C97,D97,HOR_ARRAY,"W"))</f>
        <v xml:space="preserve"> 215 - 21 - 45.92</v>
      </c>
      <c r="K97" s="11" t="str">
        <f>HorType(C97,HOR_ARRAY)</f>
        <v>Clothoid</v>
      </c>
      <c r="L97" s="11" t="str">
        <f>VerType(C97,VER_ARRAY)</f>
        <v>Linear</v>
      </c>
    </row>
    <row r="98" spans="2:12" ht="30" customHeight="1">
      <c r="B98" s="9">
        <v>94</v>
      </c>
      <c r="C98" s="18">
        <f>HorP(F98,G98,HOR_ARRAY,"C",0)</f>
        <v>9524.9999999998545</v>
      </c>
      <c r="D98" s="19">
        <f>HorP(F98,G98,HOR_ARRAY,"O",0)</f>
        <v>0</v>
      </c>
      <c r="E98" s="19">
        <f>H98-ver(C98,VER_ARRAY)</f>
        <v>4.7748471843078732E-12</v>
      </c>
      <c r="F98" s="17">
        <v>661961.39831012802</v>
      </c>
      <c r="G98" s="17">
        <v>1519240.7414844153</v>
      </c>
      <c r="H98" s="17">
        <v>65.157419265752807</v>
      </c>
      <c r="I98" s="11">
        <f>Hor(C98,D98,HOR_ARRAY,"W")</f>
        <v>213.44574210953664</v>
      </c>
      <c r="J98" s="12" t="str">
        <f>DegtoDMSStr2(Hor(C98,D98,HOR_ARRAY,"W"))</f>
        <v xml:space="preserve"> 213 - 26 - 44.67</v>
      </c>
      <c r="K98" s="11" t="str">
        <f>HorType(C98,HOR_ARRAY)</f>
        <v>Clothoid</v>
      </c>
      <c r="L98" s="11" t="str">
        <f>VerType(C98,VER_ARRAY)</f>
        <v>Linear</v>
      </c>
    </row>
    <row r="99" spans="2:12" ht="30" customHeight="1">
      <c r="B99" s="9">
        <v>95</v>
      </c>
      <c r="C99" s="18">
        <f>HorP(F99,G99,HOR_ARRAY,"C",0)</f>
        <v>9550.0000000000509</v>
      </c>
      <c r="D99" s="19">
        <f>HorP(F99,G99,HOR_ARRAY,"O",0)</f>
        <v>0</v>
      </c>
      <c r="E99" s="19">
        <f>H99-ver(C99,VER_ARRAY)</f>
        <v>-1.6768808563938364E-12</v>
      </c>
      <c r="F99" s="17">
        <v>661947.7298838346</v>
      </c>
      <c r="G99" s="17">
        <v>1519219.8089360246</v>
      </c>
      <c r="H99" s="17">
        <v>65.977418874681035</v>
      </c>
      <c r="I99" s="11">
        <f>Hor(C99,D99,HOR_ARRAY,"W")</f>
        <v>213.05078909246663</v>
      </c>
      <c r="J99" s="12" t="str">
        <f>DegtoDMSStr2(Hor(C99,D99,HOR_ARRAY,"W"))</f>
        <v xml:space="preserve"> 213 - 3 - 2.84</v>
      </c>
      <c r="K99" s="11" t="str">
        <f>HorType(C99,HOR_ARRAY)</f>
        <v>Linear</v>
      </c>
      <c r="L99" s="11" t="str">
        <f>VerType(C99,VER_ARRAY)</f>
        <v>Linear</v>
      </c>
    </row>
    <row r="100" spans="2:12" ht="30" customHeight="1">
      <c r="B100" s="9">
        <v>96</v>
      </c>
      <c r="C100" s="18">
        <f>HorP(F100,G100,HOR_ARRAY,"C",0)</f>
        <v>9575.0000000000855</v>
      </c>
      <c r="D100" s="19">
        <f>HorP(F100,G100,HOR_ARRAY,"O",0)</f>
        <v>0</v>
      </c>
      <c r="E100" s="19">
        <f>H100-ver(C100,VER_ARRAY)</f>
        <v>-2.7995383788947947E-12</v>
      </c>
      <c r="F100" s="17">
        <v>661934.09210317046</v>
      </c>
      <c r="G100" s="17">
        <v>1519198.8563499423</v>
      </c>
      <c r="H100" s="17">
        <v>66.797418483609277</v>
      </c>
      <c r="I100" s="11">
        <f>Hor(C100,D100,HOR_ARRAY,"W")</f>
        <v>213.14013116668468</v>
      </c>
      <c r="J100" s="12" t="str">
        <f>DegtoDMSStr2(Hor(C100,D100,HOR_ARRAY,"W"))</f>
        <v xml:space="preserve"> 213 - 8 - 24.47</v>
      </c>
      <c r="K100" s="11" t="str">
        <f>HorType(C100,HOR_ARRAY)</f>
        <v>Clothoid</v>
      </c>
      <c r="L100" s="11" t="str">
        <f>VerType(C100,VER_ARRAY)</f>
        <v>Linear</v>
      </c>
    </row>
    <row r="101" spans="2:12" ht="30" customHeight="1">
      <c r="B101" s="9">
        <v>97</v>
      </c>
      <c r="C101" s="18">
        <f>HorP(F101,G101,HOR_ARRAY,"C",0)</f>
        <v>9599.9999999999327</v>
      </c>
      <c r="D101" s="19">
        <f>HorP(F101,G101,HOR_ARRAY,"O",0)</f>
        <v>0</v>
      </c>
      <c r="E101" s="19">
        <f>H101-ver(C101,VER_ARRAY)</f>
        <v>2.2168933355715126E-12</v>
      </c>
      <c r="F101" s="17">
        <v>661920.19433348824</v>
      </c>
      <c r="G101" s="17">
        <v>1519178.076276608</v>
      </c>
      <c r="H101" s="17">
        <v>67.61741809253752</v>
      </c>
      <c r="I101" s="11">
        <f>Hor(C101,D101,HOR_ARRAY,"W")</f>
        <v>214.67860754327847</v>
      </c>
      <c r="J101" s="12" t="str">
        <f>DegtoDMSStr2(Hor(C101,D101,HOR_ARRAY,"W"))</f>
        <v xml:space="preserve"> 214 - 40 - 42.99</v>
      </c>
      <c r="K101" s="11" t="str">
        <f>HorType(C101,HOR_ARRAY)</f>
        <v>Circular</v>
      </c>
      <c r="L101" s="11" t="str">
        <f>VerType(C101,VER_ARRAY)</f>
        <v>Linear</v>
      </c>
    </row>
    <row r="102" spans="2:12" ht="30" customHeight="1">
      <c r="B102" s="9">
        <v>98</v>
      </c>
      <c r="C102" s="18">
        <f>HorP(F102,G102,HOR_ARRAY,"C",0)</f>
        <v>9624.9999999999291</v>
      </c>
      <c r="D102" s="19">
        <f>HorP(F102,G102,HOR_ARRAY,"O",0)</f>
        <v>0</v>
      </c>
      <c r="E102" s="19">
        <f>H102-ver(C102,VER_ARRAY)</f>
        <v>2.3305801732931286E-12</v>
      </c>
      <c r="F102" s="17">
        <v>661905.60826749785</v>
      </c>
      <c r="G102" s="17">
        <v>1519157.7740003823</v>
      </c>
      <c r="H102" s="17">
        <v>68.437417701465748</v>
      </c>
      <c r="I102" s="11">
        <f>Hor(C102,D102,HOR_ARRAY,"W")</f>
        <v>216.65123354284847</v>
      </c>
      <c r="J102" s="12" t="str">
        <f>DegtoDMSStr2(Hor(C102,D102,HOR_ARRAY,"W"))</f>
        <v xml:space="preserve"> 216 - 39 - 4.44</v>
      </c>
      <c r="K102" s="11" t="str">
        <f>HorType(C102,HOR_ARRAY)</f>
        <v>Clothoid</v>
      </c>
      <c r="L102" s="11" t="str">
        <f>VerType(C102,VER_ARRAY)</f>
        <v>Linear</v>
      </c>
    </row>
    <row r="103" spans="2:12" ht="30" customHeight="1">
      <c r="B103" s="9">
        <v>99</v>
      </c>
      <c r="C103" s="18">
        <f>HorP(F103,G103,HOR_ARRAY,"C",0)</f>
        <v>9650.0000000000655</v>
      </c>
      <c r="D103" s="19">
        <f>HorP(F103,G103,HOR_ARRAY,"O",0)</f>
        <v>0</v>
      </c>
      <c r="E103" s="19">
        <f>H103-ver(C103,VER_ARRAY)</f>
        <v>-2.1458390619955026E-12</v>
      </c>
      <c r="F103" s="17">
        <v>661890.54017257632</v>
      </c>
      <c r="G103" s="17">
        <v>1519137.825377543</v>
      </c>
      <c r="H103" s="17">
        <v>69.25741731039399</v>
      </c>
      <c r="I103" s="11">
        <f>Hor(C103,D103,HOR_ARRAY,"W")</f>
        <v>217.19900267542124</v>
      </c>
      <c r="J103" s="12" t="str">
        <f>DegtoDMSStr2(Hor(C103,D103,HOR_ARRAY,"W"))</f>
        <v xml:space="preserve"> 217 - 11 - 56.41</v>
      </c>
      <c r="K103" s="11" t="str">
        <f>HorType(C103,HOR_ARRAY)</f>
        <v>Linear</v>
      </c>
      <c r="L103" s="11" t="str">
        <f>VerType(C103,VER_ARRAY)</f>
        <v>Linear</v>
      </c>
    </row>
    <row r="104" spans="2:12" ht="30" customHeight="1">
      <c r="B104" s="9">
        <v>100</v>
      </c>
      <c r="C104" s="18">
        <f>HorP(F104,G104,HOR_ARRAY,"C",0)</f>
        <v>9675.0000000000291</v>
      </c>
      <c r="D104" s="19">
        <f>HorP(F104,G104,HOR_ARRAY,"O",0)</f>
        <v>0</v>
      </c>
      <c r="E104" s="19">
        <f>H104-ver(C104,VER_ARRAY)</f>
        <v>-9.6633812063373625E-13</v>
      </c>
      <c r="F104" s="17">
        <v>661875.42553922825</v>
      </c>
      <c r="G104" s="17">
        <v>1519117.9118680893</v>
      </c>
      <c r="H104" s="17">
        <v>70.077416919322218</v>
      </c>
      <c r="I104" s="11">
        <f>Hor(C104,D104,HOR_ARRAY,"W")</f>
        <v>217.19900267542124</v>
      </c>
      <c r="J104" s="12" t="str">
        <f>DegtoDMSStr2(Hor(C104,D104,HOR_ARRAY,"W"))</f>
        <v xml:space="preserve"> 217 - 11 - 56.41</v>
      </c>
      <c r="K104" s="11" t="str">
        <f>HorType(C104,HOR_ARRAY)</f>
        <v>Linear</v>
      </c>
      <c r="L104" s="11" t="str">
        <f>VerType(C104,VER_ARRAY)</f>
        <v>Linear</v>
      </c>
    </row>
    <row r="105" spans="2:12" ht="30" customHeight="1">
      <c r="B105" s="9">
        <v>101</v>
      </c>
      <c r="C105" s="18">
        <f>HorP(F105,G105,HOR_ARRAY,"C",0)</f>
        <v>9700.00000000004</v>
      </c>
      <c r="D105" s="19">
        <f>HorP(F105,G105,HOR_ARRAY,"O",0)</f>
        <v>0</v>
      </c>
      <c r="E105" s="19">
        <f>H105-ver(C105,VER_ARRAY)</f>
        <v>-1.3073986337985843E-12</v>
      </c>
      <c r="F105" s="17">
        <v>661860.31090588018</v>
      </c>
      <c r="G105" s="17">
        <v>1519097.9983586359</v>
      </c>
      <c r="H105" s="17">
        <v>70.89741652825046</v>
      </c>
      <c r="I105" s="11">
        <f>Hor(C105,D105,HOR_ARRAY,"W")</f>
        <v>217.19900267542124</v>
      </c>
      <c r="J105" s="12" t="str">
        <f>DegtoDMSStr2(Hor(C105,D105,HOR_ARRAY,"W"))</f>
        <v xml:space="preserve"> 217 - 11 - 56.41</v>
      </c>
      <c r="K105" s="11" t="str">
        <f>HorType(C105,HOR_ARRAY)</f>
        <v>Linear</v>
      </c>
      <c r="L105" s="11" t="str">
        <f>VerType(C105,VER_ARRAY)</f>
        <v>Linear</v>
      </c>
    </row>
    <row r="106" spans="2:12" ht="30" customHeight="1">
      <c r="B106" s="9">
        <v>102</v>
      </c>
      <c r="C106" s="18">
        <f>HorP(F106,G106,HOR_ARRAY,"C",0)</f>
        <v>9725.0000000000637</v>
      </c>
      <c r="D106" s="19">
        <f>HorP(F106,G106,HOR_ARRAY,"O",0)</f>
        <v>0</v>
      </c>
      <c r="E106" s="19">
        <f>H106-ver(C106,VER_ARRAY)</f>
        <v>-2.0747847884194925E-12</v>
      </c>
      <c r="F106" s="17">
        <v>661845.20522069721</v>
      </c>
      <c r="G106" s="17">
        <v>1519078.0780694149</v>
      </c>
      <c r="H106" s="17">
        <v>71.717416137178702</v>
      </c>
      <c r="I106" s="11">
        <f>Hor(C106,D106,HOR_ARRAY,"W")</f>
        <v>217.03623053312381</v>
      </c>
      <c r="J106" s="12" t="str">
        <f>DegtoDMSStr2(Hor(C106,D106,HOR_ARRAY,"W"))</f>
        <v xml:space="preserve"> 217 - 2 - 10.43</v>
      </c>
      <c r="K106" s="11" t="str">
        <f>HorType(C106,HOR_ARRAY)</f>
        <v>Clothoid</v>
      </c>
      <c r="L106" s="11" t="str">
        <f>VerType(C106,VER_ARRAY)</f>
        <v>Linear</v>
      </c>
    </row>
    <row r="107" spans="2:12" ht="30" customHeight="1">
      <c r="B107" s="9">
        <v>103</v>
      </c>
      <c r="C107" s="18">
        <f>HorP(F107,G107,HOR_ARRAY,"C",0)</f>
        <v>9750.0000000000764</v>
      </c>
      <c r="D107" s="19">
        <f>HorP(F107,G107,HOR_ARRAY,"O",0)</f>
        <v>1.1641532182693481E-10</v>
      </c>
      <c r="E107" s="19">
        <f>H107-ver(C107,VER_ARRAY)</f>
        <v>-2.5011104298755527E-12</v>
      </c>
      <c r="F107" s="17">
        <v>661830.35189443128</v>
      </c>
      <c r="G107" s="17">
        <v>1519057.9696976398</v>
      </c>
      <c r="H107" s="17">
        <v>72.53741574610693</v>
      </c>
      <c r="I107" s="11">
        <f>Hor(C107,D107,HOR_ARRAY,"W")</f>
        <v>215.62649147821037</v>
      </c>
      <c r="J107" s="12" t="str">
        <f>DegtoDMSStr2(Hor(C107,D107,HOR_ARRAY,"W"))</f>
        <v xml:space="preserve"> 215 - 37 - 35.37</v>
      </c>
      <c r="K107" s="11" t="str">
        <f>HorType(C107,HOR_ARRAY)</f>
        <v>Clothoid</v>
      </c>
      <c r="L107" s="11" t="str">
        <f>VerType(C107,VER_ARRAY)</f>
        <v>Linear</v>
      </c>
    </row>
    <row r="108" spans="2:12" ht="30" customHeight="1">
      <c r="B108" s="9">
        <v>104</v>
      </c>
      <c r="C108" s="18">
        <f>HorP(F108,G108,HOR_ARRAY,"C",0)</f>
        <v>9774.9999999999382</v>
      </c>
      <c r="D108" s="19">
        <f>HorP(F108,G108,HOR_ARRAY,"O",0)</f>
        <v>0</v>
      </c>
      <c r="E108" s="19">
        <f>H108-ver(C108,VER_ARRAY)</f>
        <v>2.0321522242738865E-12</v>
      </c>
      <c r="F108" s="17">
        <v>661816.25662759878</v>
      </c>
      <c r="G108" s="17">
        <v>1519037.3251848088</v>
      </c>
      <c r="H108" s="17">
        <v>73.357415355035172</v>
      </c>
      <c r="I108" s="11">
        <f>Hor(C108,D108,HOR_ARRAY,"W")</f>
        <v>212.82433734013958</v>
      </c>
      <c r="J108" s="12" t="str">
        <f>DegtoDMSStr2(Hor(C108,D108,HOR_ARRAY,"W"))</f>
        <v xml:space="preserve"> 212 - 49 - 27.61</v>
      </c>
      <c r="K108" s="11" t="str">
        <f>HorType(C108,HOR_ARRAY)</f>
        <v>Circular</v>
      </c>
      <c r="L108" s="11" t="str">
        <f>VerType(C108,VER_ARRAY)</f>
        <v>Linear</v>
      </c>
    </row>
    <row r="109" spans="2:12" ht="30" customHeight="1">
      <c r="B109" s="9">
        <v>105</v>
      </c>
      <c r="C109" s="18">
        <f>HorP(F109,G109,HOR_ARRAY,"C",0)</f>
        <v>9799.9999999999636</v>
      </c>
      <c r="D109" s="19">
        <f>HorP(F109,G109,HOR_ARRAY,"O",0)</f>
        <v>0</v>
      </c>
      <c r="E109" s="19">
        <f>H109-ver(C109,VER_ARRAY)</f>
        <v>1.1937117960769683E-12</v>
      </c>
      <c r="F109" s="17">
        <v>661803.29538204893</v>
      </c>
      <c r="G109" s="17">
        <v>1519015.9512432138</v>
      </c>
      <c r="H109" s="17">
        <v>74.1774149639634</v>
      </c>
      <c r="I109" s="11">
        <f>Hor(C109,D109,HOR_ARRAY,"W")</f>
        <v>209.64123856687621</v>
      </c>
      <c r="J109" s="12" t="str">
        <f>DegtoDMSStr2(Hor(C109,D109,HOR_ARRAY,"W"))</f>
        <v xml:space="preserve"> 209 - 38 - 28.46</v>
      </c>
      <c r="K109" s="11" t="str">
        <f>HorType(C109,HOR_ARRAY)</f>
        <v>Circular</v>
      </c>
      <c r="L109" s="11" t="str">
        <f>VerType(C109,VER_ARRAY)</f>
        <v>Linear</v>
      </c>
    </row>
    <row r="110" spans="2:12" ht="30" customHeight="1">
      <c r="B110" s="9">
        <v>106</v>
      </c>
      <c r="C110" s="18">
        <f>HorP(F110,G110,HOR_ARRAY,"C",0)</f>
        <v>9825.00000000002</v>
      </c>
      <c r="D110" s="19">
        <f>HorP(F110,G110,HOR_ARRAY,"O",0)</f>
        <v>0</v>
      </c>
      <c r="E110" s="19">
        <f>H110-ver(C110,VER_ARRAY)</f>
        <v>-6.5369931689929217E-13</v>
      </c>
      <c r="F110" s="17">
        <v>661791.54096374754</v>
      </c>
      <c r="G110" s="17">
        <v>1518993.8905787654</v>
      </c>
      <c r="H110" s="17">
        <v>74.997414572891643</v>
      </c>
      <c r="I110" s="11">
        <f>Hor(C110,D110,HOR_ARRAY,"W")</f>
        <v>206.45813979360892</v>
      </c>
      <c r="J110" s="12" t="str">
        <f>DegtoDMSStr2(Hor(C110,D110,HOR_ARRAY,"W"))</f>
        <v xml:space="preserve"> 206 - 27 - 29.3</v>
      </c>
      <c r="K110" s="11" t="str">
        <f>HorType(C110,HOR_ARRAY)</f>
        <v>Circular</v>
      </c>
      <c r="L110" s="11" t="str">
        <f>VerType(C110,VER_ARRAY)</f>
        <v>Linear</v>
      </c>
    </row>
    <row r="111" spans="2:12" ht="30" customHeight="1">
      <c r="B111" s="9">
        <v>107</v>
      </c>
      <c r="C111" s="18">
        <f>HorP(F111,G111,HOR_ARRAY,"C",0)</f>
        <v>9850.0000000000455</v>
      </c>
      <c r="D111" s="19">
        <f>HorP(F111,G111,HOR_ARRAY,"O",0)</f>
        <v>0</v>
      </c>
      <c r="E111" s="19">
        <f>H111-ver(C111,VER_ARRAY)</f>
        <v>-1.4921397450962104E-12</v>
      </c>
      <c r="F111" s="17">
        <v>661780.97150300618</v>
      </c>
      <c r="G111" s="17">
        <v>1518971.2372727939</v>
      </c>
      <c r="H111" s="17">
        <v>75.817414181819871</v>
      </c>
      <c r="I111" s="11">
        <f>Hor(C111,D111,HOR_ARRAY,"W")</f>
        <v>203.79276065935744</v>
      </c>
      <c r="J111" s="12" t="str">
        <f>DegtoDMSStr2(Hor(C111,D111,HOR_ARRAY,"W"))</f>
        <v xml:space="preserve"> 203 - 47 - 33.94</v>
      </c>
      <c r="K111" s="11" t="str">
        <f>HorType(C111,HOR_ARRAY)</f>
        <v>Clothoid</v>
      </c>
      <c r="L111" s="11" t="str">
        <f>VerType(C111,VER_ARRAY)</f>
        <v>Linear</v>
      </c>
    </row>
    <row r="112" spans="2:12" ht="30" customHeight="1">
      <c r="B112" s="9">
        <v>108</v>
      </c>
      <c r="C112" s="18">
        <f>HorP(F112,G112,HOR_ARRAY,"C",0)</f>
        <v>9875.00000000006</v>
      </c>
      <c r="D112" s="19">
        <f>HorP(F112,G112,HOR_ARRAY,"O",0)</f>
        <v>1.1641532182693481E-10</v>
      </c>
      <c r="E112" s="19">
        <f>H112-ver(C112,VER_ARRAY)</f>
        <v>-1.9753088054130785E-12</v>
      </c>
      <c r="F112" s="17">
        <v>661771.18159473955</v>
      </c>
      <c r="G112" s="17">
        <v>1518948.2343834573</v>
      </c>
      <c r="H112" s="17">
        <v>76.637413790748113</v>
      </c>
      <c r="I112" s="11">
        <f>Hor(C112,D112,HOR_ARRAY,"W")</f>
        <v>202.55707909817806</v>
      </c>
      <c r="J112" s="12" t="str">
        <f>DegtoDMSStr2(Hor(C112,D112,HOR_ARRAY,"W"))</f>
        <v xml:space="preserve"> 202 - 33 - 25.48</v>
      </c>
      <c r="K112" s="11" t="str">
        <f>HorType(C112,HOR_ARRAY)</f>
        <v>Clothoid</v>
      </c>
      <c r="L112" s="11" t="str">
        <f>VerType(C112,VER_ARRAY)</f>
        <v>Linear</v>
      </c>
    </row>
    <row r="113" spans="2:12" ht="30" customHeight="1">
      <c r="B113" s="9">
        <v>109</v>
      </c>
      <c r="C113" s="18">
        <f>HorP(F113,G113,HOR_ARRAY,"C",0)</f>
        <v>9900.0000000001492</v>
      </c>
      <c r="D113" s="19">
        <f>HorP(F113,G113,HOR_ARRAY,"O",0)</f>
        <v>1.1641532182693481E-10</v>
      </c>
      <c r="E113" s="19">
        <f>H113-ver(C113,VER_ARRAY)</f>
        <v>-4.8885340220294893E-12</v>
      </c>
      <c r="F113" s="17">
        <v>661761.62374584028</v>
      </c>
      <c r="G113" s="17">
        <v>1518925.133573018</v>
      </c>
      <c r="H113" s="17">
        <v>77.457413399676355</v>
      </c>
      <c r="I113" s="11">
        <f>Hor(C113,D113,HOR_ARRAY,"W")</f>
        <v>202.46640023079811</v>
      </c>
      <c r="J113" s="12" t="str">
        <f>DegtoDMSStr2(Hor(C113,D113,HOR_ARRAY,"W"))</f>
        <v xml:space="preserve"> 202 - 27 - 59.04</v>
      </c>
      <c r="K113" s="11" t="str">
        <f>HorType(C113,HOR_ARRAY)</f>
        <v>Linear</v>
      </c>
      <c r="L113" s="11" t="str">
        <f>VerType(C113,VER_ARRAY)</f>
        <v>Linear</v>
      </c>
    </row>
    <row r="114" spans="2:12" ht="30" customHeight="1">
      <c r="B114" s="9">
        <v>110</v>
      </c>
      <c r="C114" s="18">
        <f>HorP(F114,G114,HOR_ARRAY,"C",0)</f>
        <v>9924.9999999999309</v>
      </c>
      <c r="D114" s="19">
        <f>HorP(F114,G114,HOR_ARRAY,"O",0)</f>
        <v>0</v>
      </c>
      <c r="E114" s="19">
        <f>H114-ver(C114,VER_ARRAY)</f>
        <v>2.2595258997171186E-12</v>
      </c>
      <c r="F114" s="17">
        <v>661752.09626624384</v>
      </c>
      <c r="G114" s="17">
        <v>1518902.0202497465</v>
      </c>
      <c r="H114" s="17">
        <v>78.277413008604583</v>
      </c>
      <c r="I114" s="11">
        <f>Hor(C114,D114,HOR_ARRAY,"W")</f>
        <v>202.16636062078928</v>
      </c>
      <c r="J114" s="12" t="str">
        <f>DegtoDMSStr2(Hor(C114,D114,HOR_ARRAY,"W"))</f>
        <v xml:space="preserve"> 202 - 9 - 58.9</v>
      </c>
      <c r="K114" s="11" t="str">
        <f>HorType(C114,HOR_ARRAY)</f>
        <v>Clothoid</v>
      </c>
      <c r="L114" s="11" t="str">
        <f>VerType(C114,VER_ARRAY)</f>
        <v>Linear</v>
      </c>
    </row>
    <row r="115" spans="2:12" ht="30" customHeight="1">
      <c r="B115" s="9">
        <v>111</v>
      </c>
      <c r="C115" s="18">
        <f>HorP(F115,G115,HOR_ARRAY,"C",0)</f>
        <v>9949.9999999999327</v>
      </c>
      <c r="D115" s="19">
        <f>HorP(F115,G115,HOR_ARRAY,"O",0)</f>
        <v>0</v>
      </c>
      <c r="E115" s="19">
        <f>H115-ver(C115,VER_ARRAY)</f>
        <v>2.0889956431346945E-12</v>
      </c>
      <c r="F115" s="17">
        <v>661742.94074086403</v>
      </c>
      <c r="G115" s="17">
        <v>1518878.7578750257</v>
      </c>
      <c r="H115" s="17">
        <v>79.092614603150636</v>
      </c>
      <c r="I115" s="11">
        <f>Hor(C115,D115,HOR_ARRAY,"W")</f>
        <v>200.6613147721838</v>
      </c>
      <c r="J115" s="12" t="str">
        <f>DegtoDMSStr2(Hor(C115,D115,HOR_ARRAY,"W"))</f>
        <v xml:space="preserve"> 200 - 39 - 40.73</v>
      </c>
      <c r="K115" s="11" t="str">
        <f>HorType(C115,HOR_ARRAY)</f>
        <v>Circular</v>
      </c>
      <c r="L115" s="11" t="str">
        <f>VerType(C115,VER_ARRAY)</f>
        <v>Parabola</v>
      </c>
    </row>
    <row r="116" spans="2:12" ht="30" customHeight="1">
      <c r="B116" s="9">
        <v>112</v>
      </c>
      <c r="C116" s="18">
        <f>HorP(F116,G116,HOR_ARRAY,"C",0)</f>
        <v>9974.9999999999072</v>
      </c>
      <c r="D116" s="19">
        <f>HorP(F116,G116,HOR_ARRAY,"O",0)</f>
        <v>0</v>
      </c>
      <c r="E116" s="19">
        <f>H116-ver(C116,VER_ARRAY)</f>
        <v>2.1174173525650986E-12</v>
      </c>
      <c r="F116" s="17">
        <v>661734.47208441515</v>
      </c>
      <c r="G116" s="17">
        <v>1518855.2369177926</v>
      </c>
      <c r="H116" s="17">
        <v>79.765761302115521</v>
      </c>
      <c r="I116" s="11">
        <f>Hor(C116,D116,HOR_ARRAY,"W")</f>
        <v>198.97296305895406</v>
      </c>
      <c r="J116" s="12" t="str">
        <f>DegtoDMSStr2(Hor(C116,D116,HOR_ARRAY,"W"))</f>
        <v xml:space="preserve"> 198 - 58 - 22.67</v>
      </c>
      <c r="K116" s="11" t="str">
        <f>HorType(C116,HOR_ARRAY)</f>
        <v>Clothoid</v>
      </c>
      <c r="L116" s="11" t="str">
        <f>VerType(C116,VER_ARRAY)</f>
        <v>Parabola</v>
      </c>
    </row>
    <row r="117" spans="2:12" ht="30" customHeight="1">
      <c r="B117" s="9">
        <v>113</v>
      </c>
      <c r="C117" s="18">
        <f>HorP(F117,G117,HOR_ARRAY,"C",0)</f>
        <v>9999.9999999999691</v>
      </c>
      <c r="D117" s="19">
        <f>HorP(F117,G117,HOR_ARRAY,"O",0)</f>
        <v>0</v>
      </c>
      <c r="E117" s="19">
        <f>H117-ver(C117,VER_ARRAY)</f>
        <v>4.4053649617126212E-13</v>
      </c>
      <c r="F117" s="17">
        <v>661726.53380822029</v>
      </c>
      <c r="G117" s="17">
        <v>1518831.5308865339</v>
      </c>
      <c r="H117" s="17">
        <v>80.233908098848346</v>
      </c>
      <c r="I117" s="11">
        <f>Hor(C117,D117,HOR_ARRAY,"W")</f>
        <v>198.29378407097386</v>
      </c>
      <c r="J117" s="12" t="str">
        <f>DegtoDMSStr2(Hor(C117,D117,HOR_ARRAY,"W"))</f>
        <v xml:space="preserve"> 198 - 17 - 37.62</v>
      </c>
      <c r="K117" s="11" t="str">
        <f>HorType(C117,HOR_ARRAY)</f>
        <v>Linear</v>
      </c>
      <c r="L117" s="11" t="str">
        <f>VerType(C117,VER_ARRAY)</f>
        <v>Parabola</v>
      </c>
    </row>
    <row r="118" spans="2:12" ht="30" customHeight="1">
      <c r="B118" s="9">
        <v>114</v>
      </c>
      <c r="C118" s="18">
        <f>HorP(F118,G118,HOR_ARRAY,"C",0)</f>
        <v>10025.000000000053</v>
      </c>
      <c r="D118" s="19">
        <f>HorP(F118,G118,HOR_ARRAY,"O",0)</f>
        <v>0</v>
      </c>
      <c r="E118" s="19">
        <f>H118-ver(C118,VER_ARRAY)</f>
        <v>-3.4106051316484809E-13</v>
      </c>
      <c r="F118" s="17">
        <v>661718.68656962318</v>
      </c>
      <c r="G118" s="17">
        <v>1518807.7943988745</v>
      </c>
      <c r="H118" s="17">
        <v>80.49705499334911</v>
      </c>
      <c r="I118" s="11">
        <f>Hor(C118,D118,HOR_ARRAY,"W")</f>
        <v>198.29378407097386</v>
      </c>
      <c r="J118" s="12" t="str">
        <f>DegtoDMSStr2(Hor(C118,D118,HOR_ARRAY,"W"))</f>
        <v xml:space="preserve"> 198 - 17 - 37.62</v>
      </c>
      <c r="K118" s="11" t="str">
        <f>HorType(C118,HOR_ARRAY)</f>
        <v>Linear</v>
      </c>
      <c r="L118" s="11" t="str">
        <f>VerType(C118,VER_ARRAY)</f>
        <v>Parabola</v>
      </c>
    </row>
    <row r="119" spans="2:12" ht="30" customHeight="1">
      <c r="B119" s="9">
        <v>115</v>
      </c>
      <c r="C119" s="18">
        <f>HorP(F119,G119,HOR_ARRAY,"C",0)</f>
        <v>10050.000000000004</v>
      </c>
      <c r="D119" s="19">
        <f>HorP(F119,G119,HOR_ARRAY,"O",0)</f>
        <v>0</v>
      </c>
      <c r="E119" s="19">
        <f>H119-ver(C119,VER_ARRAY)</f>
        <v>0</v>
      </c>
      <c r="F119" s="17">
        <v>661710.83933102619</v>
      </c>
      <c r="G119" s="17">
        <v>1518784.0579112154</v>
      </c>
      <c r="H119" s="17">
        <v>80.56</v>
      </c>
      <c r="I119" s="11">
        <f>Hor(C119,D119,HOR_ARRAY,"W")</f>
        <v>198.29378407097386</v>
      </c>
      <c r="J119" s="12" t="str">
        <f>DegtoDMSStr2(Hor(C119,D119,HOR_ARRAY,"W"))</f>
        <v xml:space="preserve"> 198 - 17 - 37.62</v>
      </c>
      <c r="K119" s="11" t="str">
        <f>HorType(C119,HOR_ARRAY)</f>
        <v>Linear</v>
      </c>
      <c r="L119" s="11" t="str">
        <f>VerType(C119,VER_ARRAY)</f>
        <v>Linear</v>
      </c>
    </row>
    <row r="120" spans="2:12" ht="30" customHeight="1">
      <c r="B120" s="9">
        <v>116</v>
      </c>
      <c r="C120" s="18">
        <f>HorP(F120,G120,HOR_ARRAY,"C",0)</f>
        <v>10074.999999999909</v>
      </c>
      <c r="D120" s="19">
        <f>HorP(F120,G120,HOR_ARRAY,"O",0)</f>
        <v>0</v>
      </c>
      <c r="E120" s="19">
        <f>H120-ver(C120,VER_ARRAY)</f>
        <v>0</v>
      </c>
      <c r="F120" s="17">
        <v>661702.99209242908</v>
      </c>
      <c r="G120" s="17">
        <v>1518760.321423556</v>
      </c>
      <c r="H120" s="17">
        <v>80.56</v>
      </c>
      <c r="I120" s="11">
        <f>Hor(C120,D120,HOR_ARRAY,"W")</f>
        <v>198.29378407097386</v>
      </c>
      <c r="J120" s="12" t="str">
        <f>DegtoDMSStr2(Hor(C120,D120,HOR_ARRAY,"W"))</f>
        <v xml:space="preserve"> 198 - 17 - 37.62</v>
      </c>
      <c r="K120" s="11" t="str">
        <f>HorType(C120,HOR_ARRAY)</f>
        <v>Linear</v>
      </c>
      <c r="L120" s="11" t="str">
        <f>VerType(C120,VER_ARRAY)</f>
        <v>Linear</v>
      </c>
    </row>
    <row r="121" spans="2:12" ht="30" customHeight="1">
      <c r="B121" s="9">
        <v>117</v>
      </c>
      <c r="C121" s="18">
        <f>HorP(F121,G121,HOR_ARRAY,"C",0)</f>
        <v>10099.999999999984</v>
      </c>
      <c r="D121" s="19">
        <f>HorP(F121,G121,HOR_ARRAY,"O",0)</f>
        <v>0</v>
      </c>
      <c r="E121" s="19">
        <f>H121-ver(C121,VER_ARRAY)</f>
        <v>0</v>
      </c>
      <c r="F121" s="17">
        <v>661695.14485383197</v>
      </c>
      <c r="G121" s="17">
        <v>1518736.5849358966</v>
      </c>
      <c r="H121" s="17">
        <v>80.56</v>
      </c>
      <c r="I121" s="11">
        <f>Hor(C121,D121,HOR_ARRAY,"W")</f>
        <v>198.29378407097386</v>
      </c>
      <c r="J121" s="12" t="str">
        <f>DegtoDMSStr2(Hor(C121,D121,HOR_ARRAY,"W"))</f>
        <v xml:space="preserve"> 198 - 17 - 37.62</v>
      </c>
      <c r="K121" s="11" t="str">
        <f>HorType(C121,HOR_ARRAY)</f>
        <v>Linear</v>
      </c>
      <c r="L121" s="11" t="str">
        <f>VerType(C121,VER_ARRAY)</f>
        <v>Linear</v>
      </c>
    </row>
    <row r="122" spans="2:12" ht="30" customHeight="1">
      <c r="B122" s="9">
        <v>118</v>
      </c>
      <c r="C122" s="18">
        <f>HorP(F122,G122,HOR_ARRAY,"C",0)</f>
        <v>10124.999999999976</v>
      </c>
      <c r="D122" s="19">
        <f>HorP(F122,G122,HOR_ARRAY,"O",0)</f>
        <v>0</v>
      </c>
      <c r="E122" s="19">
        <f>H122-ver(C122,VER_ARRAY)</f>
        <v>0</v>
      </c>
      <c r="F122" s="17">
        <v>661687.29761523497</v>
      </c>
      <c r="G122" s="17">
        <v>1518712.8484482374</v>
      </c>
      <c r="H122" s="17">
        <v>80.56</v>
      </c>
      <c r="I122" s="11">
        <f>Hor(C122,D122,HOR_ARRAY,"W")</f>
        <v>198.29378407097386</v>
      </c>
      <c r="J122" s="12" t="str">
        <f>DegtoDMSStr2(Hor(C122,D122,HOR_ARRAY,"W"))</f>
        <v xml:space="preserve"> 198 - 17 - 37.62</v>
      </c>
      <c r="K122" s="11" t="str">
        <f>HorType(C122,HOR_ARRAY)</f>
        <v>Linear</v>
      </c>
      <c r="L122" s="11" t="str">
        <f>VerType(C122,VER_ARRAY)</f>
        <v>Linear</v>
      </c>
    </row>
    <row r="123" spans="2:12" ht="30" customHeight="1">
      <c r="B123" s="9">
        <v>119</v>
      </c>
      <c r="C123" s="18">
        <f>HorP(F123,G123,HOR_ARRAY,"C",0)</f>
        <v>10149.999999999975</v>
      </c>
      <c r="D123" s="19">
        <f>HorP(F123,G123,HOR_ARRAY,"O",0)</f>
        <v>0</v>
      </c>
      <c r="E123" s="19">
        <f>H123-ver(C123,VER_ARRAY)</f>
        <v>0</v>
      </c>
      <c r="F123" s="17">
        <v>661679.45037663786</v>
      </c>
      <c r="G123" s="17">
        <v>1518689.111960578</v>
      </c>
      <c r="H123" s="17">
        <v>80.56</v>
      </c>
      <c r="I123" s="11">
        <f>Hor(C123,D123,HOR_ARRAY,"W")</f>
        <v>198.29378407097386</v>
      </c>
      <c r="J123" s="12" t="str">
        <f>DegtoDMSStr2(Hor(C123,D123,HOR_ARRAY,"W"))</f>
        <v xml:space="preserve"> 198 - 17 - 37.62</v>
      </c>
      <c r="K123" s="11" t="str">
        <f>HorType(C123,HOR_ARRAY)</f>
        <v>Linear</v>
      </c>
      <c r="L123" s="11" t="str">
        <f>VerType(C123,VER_ARRAY)</f>
        <v>Linear</v>
      </c>
    </row>
    <row r="124" spans="2:12" ht="30" customHeight="1">
      <c r="B124" s="9">
        <v>120</v>
      </c>
      <c r="C124" s="18">
        <f>HorP(F124,G124,HOR_ARRAY,"C",0)</f>
        <v>10175.00000000002</v>
      </c>
      <c r="D124" s="19">
        <f>HorP(F124,G124,HOR_ARRAY,"O",0)</f>
        <v>0</v>
      </c>
      <c r="E124" s="19">
        <f>H124-ver(C124,VER_ARRAY)</f>
        <v>0</v>
      </c>
      <c r="F124" s="17">
        <v>661671.60313804075</v>
      </c>
      <c r="G124" s="17">
        <v>1518665.3754729186</v>
      </c>
      <c r="H124" s="17">
        <v>80.56</v>
      </c>
      <c r="I124" s="11">
        <f>Hor(C124,D124,HOR_ARRAY,"W")</f>
        <v>198.29378407097386</v>
      </c>
      <c r="J124" s="12" t="str">
        <f>DegtoDMSStr2(Hor(C124,D124,HOR_ARRAY,"W"))</f>
        <v xml:space="preserve"> 198 - 17 - 37.62</v>
      </c>
      <c r="K124" s="11" t="str">
        <f>HorType(C124,HOR_ARRAY)</f>
        <v>Linear</v>
      </c>
      <c r="L124" s="11" t="str">
        <f>VerType(C124,VER_ARRAY)</f>
        <v>Linear</v>
      </c>
    </row>
    <row r="125" spans="2:12" ht="30" customHeight="1">
      <c r="B125" s="9">
        <v>121</v>
      </c>
      <c r="C125" s="18">
        <f>HorP(F125,G125,HOR_ARRAY,"C",0)</f>
        <v>10200.000000000022</v>
      </c>
      <c r="D125" s="19">
        <f>HorP(F125,G125,HOR_ARRAY,"O",0)</f>
        <v>0</v>
      </c>
      <c r="E125" s="19">
        <f>H125-ver(C125,VER_ARRAY)</f>
        <v>0</v>
      </c>
      <c r="F125" s="17">
        <v>661663.75589944364</v>
      </c>
      <c r="G125" s="17">
        <v>1518641.6389852595</v>
      </c>
      <c r="H125" s="17">
        <v>80.56</v>
      </c>
      <c r="I125" s="11">
        <f>Hor(C125,D125,HOR_ARRAY,"W")</f>
        <v>198.29378407097386</v>
      </c>
      <c r="J125" s="12" t="str">
        <f>DegtoDMSStr2(Hor(C125,D125,HOR_ARRAY,"W"))</f>
        <v xml:space="preserve"> 198 - 17 - 37.62</v>
      </c>
      <c r="K125" s="11" t="str">
        <f>HorType(C125,HOR_ARRAY)</f>
        <v>Linear</v>
      </c>
      <c r="L125" s="11" t="str">
        <f>VerType(C125,VER_ARRAY)</f>
        <v>Linear</v>
      </c>
    </row>
    <row r="126" spans="2:12" ht="30" customHeight="1">
      <c r="B126" s="9">
        <v>122</v>
      </c>
      <c r="C126" s="18">
        <f>HorP(F126,G126,HOR_ARRAY,"C",0)</f>
        <v>10224.999999999922</v>
      </c>
      <c r="D126" s="19">
        <f>HorP(F126,G126,HOR_ARRAY,"O",0)</f>
        <v>0</v>
      </c>
      <c r="E126" s="19">
        <f>H126-ver(C126,VER_ARRAY)</f>
        <v>0</v>
      </c>
      <c r="F126" s="17">
        <v>661655.90866084665</v>
      </c>
      <c r="G126" s="17">
        <v>1518617.9024976001</v>
      </c>
      <c r="H126" s="17">
        <v>80.56</v>
      </c>
      <c r="I126" s="11">
        <f>Hor(C126,D126,HOR_ARRAY,"W")</f>
        <v>198.29378407097386</v>
      </c>
      <c r="J126" s="12" t="str">
        <f>DegtoDMSStr2(Hor(C126,D126,HOR_ARRAY,"W"))</f>
        <v xml:space="preserve"> 198 - 17 - 37.62</v>
      </c>
      <c r="K126" s="11" t="str">
        <f>HorType(C126,HOR_ARRAY)</f>
        <v>Linear</v>
      </c>
      <c r="L126" s="11" t="str">
        <f>VerType(C126,VER_ARRAY)</f>
        <v>Linear</v>
      </c>
    </row>
    <row r="127" spans="2:12" ht="30" customHeight="1">
      <c r="B127" s="9">
        <v>123</v>
      </c>
      <c r="C127" s="18">
        <f>HorP(F127,G127,HOR_ARRAY,"C",0)</f>
        <v>10250.000000000051</v>
      </c>
      <c r="D127" s="19">
        <f>HorP(F127,G127,HOR_ARRAY,"O",0)</f>
        <v>0</v>
      </c>
      <c r="E127" s="19">
        <f>H127-ver(C127,VER_ARRAY)</f>
        <v>0</v>
      </c>
      <c r="F127" s="17">
        <v>661648.06142224954</v>
      </c>
      <c r="G127" s="17">
        <v>1518594.1660099407</v>
      </c>
      <c r="H127" s="17">
        <v>80.56</v>
      </c>
      <c r="I127" s="11">
        <f>Hor(C127,D127,HOR_ARRAY,"W")</f>
        <v>198.29378407097386</v>
      </c>
      <c r="J127" s="12" t="str">
        <f>DegtoDMSStr2(Hor(C127,D127,HOR_ARRAY,"W"))</f>
        <v xml:space="preserve"> 198 - 17 - 37.62</v>
      </c>
      <c r="K127" s="11" t="str">
        <f>HorType(C127,HOR_ARRAY)</f>
        <v>Linear</v>
      </c>
      <c r="L127" s="11" t="str">
        <f>VerType(C127,VER_ARRAY)</f>
        <v>Linear</v>
      </c>
    </row>
    <row r="128" spans="2:12" ht="30" customHeight="1">
      <c r="B128" s="9">
        <v>124</v>
      </c>
      <c r="C128" s="18">
        <f>HorP(F128,G128,HOR_ARRAY,"C",0)</f>
        <v>10275</v>
      </c>
      <c r="D128" s="19">
        <f>HorP(F128,G128,HOR_ARRAY,"O",0)</f>
        <v>0</v>
      </c>
      <c r="E128" s="19">
        <f>H128-ver(C128,VER_ARRAY)</f>
        <v>0</v>
      </c>
      <c r="F128" s="17">
        <v>661640.21418365242</v>
      </c>
      <c r="G128" s="17">
        <v>1518570.4295222815</v>
      </c>
      <c r="H128" s="17">
        <v>80.56</v>
      </c>
      <c r="I128" s="11">
        <f>Hor(C128,D128,HOR_ARRAY,"W")</f>
        <v>198.29378407097386</v>
      </c>
      <c r="J128" s="12" t="str">
        <f>DegtoDMSStr2(Hor(C128,D128,HOR_ARRAY,"W"))</f>
        <v xml:space="preserve"> 198 - 17 - 37.62</v>
      </c>
      <c r="K128" s="11" t="str">
        <f>HorType(C128,HOR_ARRAY)</f>
        <v>Linear</v>
      </c>
      <c r="L128" s="11" t="str">
        <f>VerType(C128,VER_ARRAY)</f>
        <v>Linear</v>
      </c>
    </row>
    <row r="129" spans="2:12" ht="30" customHeight="1">
      <c r="B129" s="9">
        <v>125</v>
      </c>
      <c r="C129" s="18">
        <f>HorP(F129,G129,HOR_ARRAY,"C",0)</f>
        <v>10300.000000000055</v>
      </c>
      <c r="D129" s="19">
        <f>HorP(F129,G129,HOR_ARRAY,"O",0)</f>
        <v>0</v>
      </c>
      <c r="E129" s="19">
        <f>H129-ver(C129,VER_ARRAY)</f>
        <v>0</v>
      </c>
      <c r="F129" s="17">
        <v>661632.36694505543</v>
      </c>
      <c r="G129" s="17">
        <v>1518546.6930346221</v>
      </c>
      <c r="H129" s="17">
        <v>80.56</v>
      </c>
      <c r="I129" s="11">
        <f>Hor(C129,D129,HOR_ARRAY,"W")</f>
        <v>198.29378407097386</v>
      </c>
      <c r="J129" s="12" t="str">
        <f>DegtoDMSStr2(Hor(C129,D129,HOR_ARRAY,"W"))</f>
        <v xml:space="preserve"> 198 - 17 - 37.62</v>
      </c>
      <c r="K129" s="11" t="str">
        <f>HorType(C129,HOR_ARRAY)</f>
        <v>Linear</v>
      </c>
      <c r="L129" s="11" t="str">
        <f>VerType(C129,VER_ARRAY)</f>
        <v>Linear</v>
      </c>
    </row>
    <row r="130" spans="2:12" ht="30" customHeight="1">
      <c r="B130" s="9">
        <v>126</v>
      </c>
      <c r="C130" s="18">
        <f>HorP(F130,G130,HOR_ARRAY,"C",0)</f>
        <v>10324.33899999972</v>
      </c>
      <c r="D130" s="19">
        <f>HorP(F130,G130,HOR_ARRAY,"O",0)</f>
        <v>0</v>
      </c>
      <c r="E130" s="19">
        <f>H130-ver(C130,VER_ARRAY)</f>
        <v>0</v>
      </c>
      <c r="F130" s="17">
        <v>661624.7271874469</v>
      </c>
      <c r="G130" s="17">
        <v>1518523.5841396968</v>
      </c>
      <c r="H130" s="17">
        <v>80.56</v>
      </c>
      <c r="I130" s="11">
        <f>Hor(C130,D130,HOR_ARRAY,"W")</f>
        <v>198.29378407097386</v>
      </c>
      <c r="J130" s="12" t="str">
        <f>DegtoDMSStr2(Hor(C130,D130,HOR_ARRAY,"W"))</f>
        <v xml:space="preserve"> 198 - 17 - 37.62</v>
      </c>
      <c r="K130" s="11" t="str">
        <f>HorType(C130,HOR_ARRAY)</f>
        <v>Linear</v>
      </c>
      <c r="L130" s="11" t="str">
        <f>VerType(C130,VER_ARRAY)</f>
        <v>Linear</v>
      </c>
    </row>
    <row r="131" spans="2:12" ht="30" customHeight="1">
      <c r="K131" s="11"/>
    </row>
    <row r="132" spans="2:12" ht="30" customHeight="1">
      <c r="K132" s="11"/>
    </row>
    <row r="133" spans="2:12" ht="30" customHeight="1">
      <c r="K133" s="11"/>
    </row>
    <row r="134" spans="2:12" ht="30" customHeight="1">
      <c r="K134" s="11"/>
    </row>
    <row r="135" spans="2:12" ht="30" customHeight="1">
      <c r="K135" s="11"/>
    </row>
    <row r="136" spans="2:12" ht="30" customHeight="1">
      <c r="K136" s="11"/>
    </row>
    <row r="137" spans="2:12" ht="30" customHeight="1">
      <c r="K137" s="11"/>
    </row>
    <row r="138" spans="2:12" ht="30" customHeight="1">
      <c r="K138" s="11"/>
    </row>
    <row r="139" spans="2:12" ht="30" customHeight="1">
      <c r="K139" s="11"/>
    </row>
    <row r="140" spans="2:12" ht="30" customHeight="1">
      <c r="K140" s="11"/>
    </row>
    <row r="141" spans="2:12" ht="30" customHeight="1">
      <c r="K141" s="11"/>
    </row>
    <row r="142" spans="2:12" ht="30" customHeight="1">
      <c r="K142" s="11"/>
    </row>
    <row r="143" spans="2:12" ht="30" customHeight="1">
      <c r="K143" s="11"/>
    </row>
    <row r="144" spans="2:12" ht="30" customHeight="1">
      <c r="K144" s="11"/>
    </row>
    <row r="145" spans="11:11" ht="30" customHeight="1">
      <c r="K145" s="11"/>
    </row>
    <row r="146" spans="11:11" ht="30" customHeight="1">
      <c r="K146" s="11"/>
    </row>
    <row r="147" spans="11:11" ht="30" customHeight="1">
      <c r="K147" s="11"/>
    </row>
    <row r="148" spans="11:11" ht="30" customHeight="1">
      <c r="K148" s="11"/>
    </row>
    <row r="149" spans="11:11" ht="30" customHeight="1">
      <c r="K149" s="11"/>
    </row>
    <row r="150" spans="11:11" ht="30" customHeight="1">
      <c r="K150" s="11"/>
    </row>
    <row r="151" spans="11:11" ht="30" customHeight="1">
      <c r="K151" s="11"/>
    </row>
    <row r="152" spans="11:11" ht="30" customHeight="1">
      <c r="K152" s="11"/>
    </row>
    <row r="153" spans="11:11" ht="30" customHeight="1">
      <c r="K153" s="11"/>
    </row>
    <row r="154" spans="11:11" ht="30" customHeight="1">
      <c r="K154" s="11"/>
    </row>
    <row r="155" spans="11:11" ht="30" customHeight="1">
      <c r="K155" s="11"/>
    </row>
    <row r="156" spans="11:11" ht="30" customHeight="1">
      <c r="K156" s="11"/>
    </row>
    <row r="157" spans="11:11" ht="30" customHeight="1">
      <c r="K157" s="11"/>
    </row>
    <row r="158" spans="11:11" ht="30" customHeight="1">
      <c r="K158" s="11"/>
    </row>
    <row r="159" spans="11:11" ht="30" customHeight="1">
      <c r="K159" s="11"/>
    </row>
    <row r="160" spans="11:11" ht="30" customHeight="1">
      <c r="K160" s="11"/>
    </row>
    <row r="161" spans="11:11" ht="30" customHeight="1">
      <c r="K161" s="11"/>
    </row>
    <row r="162" spans="11:11" ht="30" customHeight="1">
      <c r="K162" s="11"/>
    </row>
  </sheetData>
  <mergeCells count="3">
    <mergeCell ref="F2:J2"/>
    <mergeCell ref="K2:L2"/>
    <mergeCell ref="I3:J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4DE7-A7F9-4071-B2BA-D23F10B0A200}">
  <sheetPr codeName="Sheet2"/>
  <dimension ref="A2:L64"/>
  <sheetViews>
    <sheetView zoomScale="70" zoomScaleNormal="70" workbookViewId="0">
      <selection activeCell="B20" sqref="B20"/>
    </sheetView>
  </sheetViews>
  <sheetFormatPr defaultRowHeight="30" customHeight="1"/>
  <cols>
    <col min="1" max="1" width="8.88671875" style="1"/>
    <col min="2" max="2" width="25.77734375" style="1" customWidth="1"/>
    <col min="3" max="4" width="15.77734375" style="1" customWidth="1"/>
    <col min="5" max="10" width="20.77734375" style="1" customWidth="1"/>
    <col min="11" max="11" width="15.77734375" style="1" customWidth="1"/>
    <col min="12" max="12" width="30.77734375" style="1" customWidth="1"/>
    <col min="13" max="16384" width="8.88671875" style="1"/>
  </cols>
  <sheetData>
    <row r="2" spans="1:12" ht="30" customHeight="1">
      <c r="B2" s="2" t="s">
        <v>0</v>
      </c>
      <c r="C2" s="15" t="s">
        <v>1</v>
      </c>
      <c r="D2" s="15"/>
      <c r="E2" s="15"/>
    </row>
    <row r="3" spans="1:12" ht="40.049999999999997" customHeight="1">
      <c r="B3" s="14" t="s">
        <v>2</v>
      </c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1:12" ht="30" customHeight="1">
      <c r="B4" s="2" t="s">
        <v>3</v>
      </c>
      <c r="C4" s="2" t="s">
        <v>4</v>
      </c>
      <c r="D4" s="2" t="s">
        <v>5</v>
      </c>
      <c r="E4" s="2" t="s">
        <v>6</v>
      </c>
      <c r="F4" s="2" t="s">
        <v>7</v>
      </c>
      <c r="G4" s="2" t="s">
        <v>8</v>
      </c>
      <c r="H4" s="2" t="s">
        <v>9</v>
      </c>
      <c r="I4" s="2" t="s">
        <v>10</v>
      </c>
      <c r="J4" s="2" t="s">
        <v>11</v>
      </c>
      <c r="K4" s="2" t="s">
        <v>12</v>
      </c>
      <c r="L4" s="2" t="s">
        <v>13</v>
      </c>
    </row>
    <row r="5" spans="1:12" ht="30" customHeight="1">
      <c r="A5" s="1" t="s">
        <v>14</v>
      </c>
      <c r="B5" s="4" t="s">
        <v>15</v>
      </c>
      <c r="C5" s="4" t="s">
        <v>16</v>
      </c>
      <c r="D5" s="5">
        <f t="shared" ref="D5:D64" si="0">D6 + 1</f>
        <v>60</v>
      </c>
      <c r="E5" s="6">
        <v>7202.8339999999998</v>
      </c>
      <c r="F5" s="6">
        <f t="shared" ref="F5:F63" si="1">E6</f>
        <v>7280.7684697643826</v>
      </c>
      <c r="G5" s="7">
        <v>662670.304</v>
      </c>
      <c r="H5" s="7">
        <v>1521355.848</v>
      </c>
      <c r="I5" s="7">
        <v>150.92629300070647</v>
      </c>
      <c r="J5" s="7">
        <v>0</v>
      </c>
      <c r="K5" s="4" t="s">
        <v>17</v>
      </c>
      <c r="L5" s="8" t="s">
        <v>18</v>
      </c>
    </row>
    <row r="6" spans="1:12" ht="30" customHeight="1">
      <c r="A6" s="1" t="s">
        <v>19</v>
      </c>
      <c r="B6" s="4" t="s">
        <v>20</v>
      </c>
      <c r="C6" s="4" t="s">
        <v>21</v>
      </c>
      <c r="D6" s="5">
        <f t="shared" si="0"/>
        <v>59</v>
      </c>
      <c r="E6" s="6">
        <v>7280.7684697643826</v>
      </c>
      <c r="F6" s="6">
        <f t="shared" si="1"/>
        <v>7310.7684697643826</v>
      </c>
      <c r="G6" s="7">
        <v>662708.17503886321</v>
      </c>
      <c r="H6" s="7">
        <v>1521287.7336403327</v>
      </c>
      <c r="I6" s="7">
        <v>150.92629300070647</v>
      </c>
      <c r="J6" s="7">
        <v>200</v>
      </c>
      <c r="K6" s="4" t="s">
        <v>22</v>
      </c>
      <c r="L6" s="8" t="s">
        <v>23</v>
      </c>
    </row>
    <row r="7" spans="1:12" ht="30" customHeight="1">
      <c r="A7" s="1" t="s">
        <v>24</v>
      </c>
      <c r="B7" s="4"/>
      <c r="C7" s="4" t="s">
        <v>25</v>
      </c>
      <c r="D7" s="5">
        <f t="shared" si="0"/>
        <v>58</v>
      </c>
      <c r="E7" s="6">
        <v>7310.7684697643826</v>
      </c>
      <c r="F7" s="6">
        <f t="shared" si="1"/>
        <v>7432.4082365561835</v>
      </c>
      <c r="G7" s="7">
        <v>662722.08963891165</v>
      </c>
      <c r="H7" s="7">
        <v>1521261.1642217757</v>
      </c>
      <c r="I7" s="7">
        <v>155.22347622824552</v>
      </c>
      <c r="J7" s="7">
        <v>200</v>
      </c>
      <c r="K7" s="4" t="s">
        <v>26</v>
      </c>
      <c r="L7" s="8" t="s">
        <v>27</v>
      </c>
    </row>
    <row r="8" spans="1:12" ht="30" customHeight="1">
      <c r="A8" s="1" t="s">
        <v>28</v>
      </c>
      <c r="B8" s="4"/>
      <c r="C8" s="4" t="s">
        <v>29</v>
      </c>
      <c r="D8" s="5">
        <f t="shared" si="0"/>
        <v>57</v>
      </c>
      <c r="E8" s="6">
        <v>7432.4082365561835</v>
      </c>
      <c r="F8" s="6">
        <f t="shared" si="1"/>
        <v>7462.4082365561835</v>
      </c>
      <c r="G8" s="7">
        <v>662737.41833189619</v>
      </c>
      <c r="H8" s="7">
        <v>1521142.3755447094</v>
      </c>
      <c r="I8" s="7">
        <v>190.07070332727307</v>
      </c>
      <c r="J8" s="7">
        <v>200</v>
      </c>
      <c r="K8" s="4" t="s">
        <v>30</v>
      </c>
      <c r="L8" s="8" t="s">
        <v>31</v>
      </c>
    </row>
    <row r="9" spans="1:12" ht="30" customHeight="1">
      <c r="A9" s="1" t="s">
        <v>32</v>
      </c>
      <c r="B9" s="4"/>
      <c r="C9" s="4" t="s">
        <v>33</v>
      </c>
      <c r="D9" s="5">
        <f t="shared" si="0"/>
        <v>56</v>
      </c>
      <c r="E9" s="6">
        <v>7462.4082365561835</v>
      </c>
      <c r="F9" s="6">
        <f t="shared" si="1"/>
        <v>7495.4275500033864</v>
      </c>
      <c r="G9" s="7">
        <v>662730.70435984794</v>
      </c>
      <c r="H9" s="7">
        <v>1521113.1441801295</v>
      </c>
      <c r="I9" s="7">
        <v>194.36788655481212</v>
      </c>
      <c r="J9" s="7">
        <v>0</v>
      </c>
      <c r="K9" s="4" t="s">
        <v>17</v>
      </c>
    </row>
    <row r="10" spans="1:12" ht="30" customHeight="1">
      <c r="A10" s="1" t="s">
        <v>34</v>
      </c>
      <c r="B10" s="4" t="s">
        <v>35</v>
      </c>
      <c r="C10" s="4" t="s">
        <v>21</v>
      </c>
      <c r="D10" s="5">
        <f t="shared" si="0"/>
        <v>55</v>
      </c>
      <c r="E10" s="6">
        <v>7495.4275500033864</v>
      </c>
      <c r="F10" s="6">
        <f t="shared" si="1"/>
        <v>7520.4275500033864</v>
      </c>
      <c r="G10" s="7">
        <v>662722.51071163139</v>
      </c>
      <c r="H10" s="7">
        <v>1521081.1576331225</v>
      </c>
      <c r="I10" s="7">
        <v>194.36788655481212</v>
      </c>
      <c r="J10" s="7">
        <v>-2200</v>
      </c>
      <c r="K10" s="4" t="s">
        <v>22</v>
      </c>
    </row>
    <row r="11" spans="1:12" ht="30" customHeight="1">
      <c r="A11" s="1" t="s">
        <v>36</v>
      </c>
      <c r="B11" s="4"/>
      <c r="C11" s="4" t="s">
        <v>25</v>
      </c>
      <c r="D11" s="5">
        <f t="shared" si="0"/>
        <v>54</v>
      </c>
      <c r="E11" s="6">
        <v>7520.4275500033864</v>
      </c>
      <c r="F11" s="6">
        <f t="shared" si="1"/>
        <v>7546.1593074077082</v>
      </c>
      <c r="G11" s="7">
        <v>662716.35292544111</v>
      </c>
      <c r="H11" s="7">
        <v>1521056.9279018878</v>
      </c>
      <c r="I11" s="7">
        <v>194.04234237090765</v>
      </c>
      <c r="J11" s="7">
        <v>-2200</v>
      </c>
      <c r="K11" s="4" t="s">
        <v>26</v>
      </c>
    </row>
    <row r="12" spans="1:12" ht="30" customHeight="1">
      <c r="A12" s="1" t="s">
        <v>37</v>
      </c>
      <c r="B12" s="4"/>
      <c r="C12" s="4" t="s">
        <v>29</v>
      </c>
      <c r="D12" s="5">
        <f t="shared" si="0"/>
        <v>53</v>
      </c>
      <c r="E12" s="6">
        <v>7546.1593074077082</v>
      </c>
      <c r="F12" s="6">
        <f t="shared" si="1"/>
        <v>7571.1593074077082</v>
      </c>
      <c r="G12" s="7">
        <v>662710.25552736293</v>
      </c>
      <c r="H12" s="7">
        <v>1521031.9291513695</v>
      </c>
      <c r="I12" s="7">
        <v>193.37219637095944</v>
      </c>
      <c r="J12" s="7">
        <v>-2200</v>
      </c>
      <c r="K12" s="4" t="s">
        <v>30</v>
      </c>
    </row>
    <row r="13" spans="1:12" ht="30" customHeight="1">
      <c r="A13" s="1" t="s">
        <v>38</v>
      </c>
      <c r="B13" s="4"/>
      <c r="C13" s="4" t="s">
        <v>33</v>
      </c>
      <c r="D13" s="5">
        <f t="shared" si="0"/>
        <v>52</v>
      </c>
      <c r="E13" s="6">
        <v>7571.1593074077082</v>
      </c>
      <c r="F13" s="6">
        <f t="shared" si="1"/>
        <v>7682.3558307983403</v>
      </c>
      <c r="G13" s="7">
        <v>662704.56581143581</v>
      </c>
      <c r="H13" s="7">
        <v>1521007.5852539986</v>
      </c>
      <c r="I13" s="7">
        <v>193.04665218705497</v>
      </c>
      <c r="J13" s="7">
        <v>0</v>
      </c>
      <c r="K13" s="4" t="s">
        <v>17</v>
      </c>
    </row>
    <row r="14" spans="1:12" ht="30" customHeight="1">
      <c r="A14" s="1" t="s">
        <v>39</v>
      </c>
      <c r="B14" s="4" t="s">
        <v>40</v>
      </c>
      <c r="C14" s="4" t="s">
        <v>21</v>
      </c>
      <c r="D14" s="5">
        <f t="shared" si="0"/>
        <v>51</v>
      </c>
      <c r="E14" s="6">
        <v>7682.3558307983403</v>
      </c>
      <c r="F14" s="6">
        <f t="shared" si="1"/>
        <v>7707.3558307983403</v>
      </c>
      <c r="G14" s="7">
        <v>662679.4638207017</v>
      </c>
      <c r="H14" s="7">
        <v>1520899.2590942986</v>
      </c>
      <c r="I14" s="7">
        <v>193.04665218705497</v>
      </c>
      <c r="J14" s="7">
        <v>2300</v>
      </c>
      <c r="K14" s="4" t="s">
        <v>22</v>
      </c>
    </row>
    <row r="15" spans="1:12" ht="30" customHeight="1">
      <c r="A15" s="1" t="s">
        <v>41</v>
      </c>
      <c r="B15" s="4"/>
      <c r="C15" s="4" t="s">
        <v>25</v>
      </c>
      <c r="D15" s="5">
        <f t="shared" si="0"/>
        <v>50</v>
      </c>
      <c r="E15" s="6">
        <v>7707.3558307983403</v>
      </c>
      <c r="F15" s="6">
        <f t="shared" si="1"/>
        <v>7742.2430898280754</v>
      </c>
      <c r="G15" s="7">
        <v>662673.77610870101</v>
      </c>
      <c r="H15" s="7">
        <v>1520874.9147255186</v>
      </c>
      <c r="I15" s="7">
        <v>193.35804227600707</v>
      </c>
      <c r="J15" s="7">
        <v>2300</v>
      </c>
      <c r="K15" s="4" t="s">
        <v>26</v>
      </c>
    </row>
    <row r="16" spans="1:12" ht="30" customHeight="1">
      <c r="A16" s="1" t="s">
        <v>42</v>
      </c>
      <c r="B16" s="4"/>
      <c r="C16" s="4" t="s">
        <v>29</v>
      </c>
      <c r="D16" s="5">
        <f t="shared" si="0"/>
        <v>49</v>
      </c>
      <c r="E16" s="6">
        <v>7742.2430898280754</v>
      </c>
      <c r="F16" s="6">
        <f t="shared" si="1"/>
        <v>7767.2430898280754</v>
      </c>
      <c r="G16" s="7">
        <v>662665.45879599813</v>
      </c>
      <c r="H16" s="7">
        <v>1520841.0337601257</v>
      </c>
      <c r="I16" s="7">
        <v>194.22712610488139</v>
      </c>
      <c r="J16" s="7">
        <v>2300</v>
      </c>
      <c r="K16" s="4" t="s">
        <v>30</v>
      </c>
    </row>
    <row r="17" spans="1:11" ht="30" customHeight="1">
      <c r="A17" s="1" t="s">
        <v>43</v>
      </c>
      <c r="B17" s="4"/>
      <c r="C17" s="4" t="s">
        <v>33</v>
      </c>
      <c r="D17" s="5">
        <f t="shared" si="0"/>
        <v>48</v>
      </c>
      <c r="E17" s="6">
        <v>7767.2430898280754</v>
      </c>
      <c r="F17" s="6">
        <f t="shared" si="1"/>
        <v>7805.1378543969158</v>
      </c>
      <c r="G17" s="7">
        <v>662659.22688547324</v>
      </c>
      <c r="H17" s="7">
        <v>1520816.822984627</v>
      </c>
      <c r="I17" s="7">
        <v>194.53851619383349</v>
      </c>
      <c r="J17" s="7">
        <v>0</v>
      </c>
      <c r="K17" s="4" t="s">
        <v>17</v>
      </c>
    </row>
    <row r="18" spans="1:11" ht="30" customHeight="1">
      <c r="A18" s="1" t="s">
        <v>44</v>
      </c>
      <c r="B18" s="4" t="s">
        <v>45</v>
      </c>
      <c r="C18" s="4" t="s">
        <v>21</v>
      </c>
      <c r="D18" s="5">
        <f t="shared" si="0"/>
        <v>47</v>
      </c>
      <c r="E18" s="6">
        <v>7805.1378543969158</v>
      </c>
      <c r="F18" s="6">
        <f t="shared" si="1"/>
        <v>7830.1378543969158</v>
      </c>
      <c r="G18" s="7">
        <v>662649.71412950312</v>
      </c>
      <c r="H18" s="7">
        <v>1520780.1416452897</v>
      </c>
      <c r="I18" s="7">
        <v>194.53851619383349</v>
      </c>
      <c r="J18" s="7">
        <v>-2400</v>
      </c>
      <c r="K18" s="4" t="s">
        <v>22</v>
      </c>
    </row>
    <row r="19" spans="1:11" ht="30" customHeight="1">
      <c r="A19" s="1" t="s">
        <v>46</v>
      </c>
      <c r="B19" s="4"/>
      <c r="C19" s="4" t="s">
        <v>25</v>
      </c>
      <c r="D19" s="5">
        <f t="shared" si="0"/>
        <v>46</v>
      </c>
      <c r="E19" s="6">
        <v>7830.1378543969158</v>
      </c>
      <c r="F19" s="6">
        <f t="shared" si="1"/>
        <v>7877.3642489977383</v>
      </c>
      <c r="G19" s="7">
        <v>662643.48039082543</v>
      </c>
      <c r="H19" s="7">
        <v>1520755.9313376702</v>
      </c>
      <c r="I19" s="7">
        <v>194.24010069192104</v>
      </c>
      <c r="J19" s="7">
        <v>-2400</v>
      </c>
      <c r="K19" s="4" t="s">
        <v>26</v>
      </c>
    </row>
    <row r="20" spans="1:11" ht="30" customHeight="1">
      <c r="A20" s="1" t="s">
        <v>47</v>
      </c>
      <c r="B20" s="4"/>
      <c r="C20" s="4" t="s">
        <v>29</v>
      </c>
      <c r="D20" s="5">
        <f t="shared" si="0"/>
        <v>45</v>
      </c>
      <c r="E20" s="6">
        <v>7877.3642489977383</v>
      </c>
      <c r="F20" s="6">
        <f t="shared" si="1"/>
        <v>7902.3642489977383</v>
      </c>
      <c r="G20" s="7">
        <v>662632.31447872112</v>
      </c>
      <c r="H20" s="7">
        <v>1520710.0447079458</v>
      </c>
      <c r="I20" s="7">
        <v>193.11265352402503</v>
      </c>
      <c r="J20" s="7">
        <v>-2400</v>
      </c>
      <c r="K20" s="4" t="s">
        <v>30</v>
      </c>
    </row>
    <row r="21" spans="1:11" ht="30" customHeight="1">
      <c r="A21" s="1" t="s">
        <v>48</v>
      </c>
      <c r="B21" s="4"/>
      <c r="C21" s="4" t="s">
        <v>33</v>
      </c>
      <c r="D21" s="5">
        <f t="shared" si="0"/>
        <v>44</v>
      </c>
      <c r="E21" s="6">
        <v>7902.3642489977383</v>
      </c>
      <c r="F21" s="6">
        <f t="shared" si="1"/>
        <v>7961.3372717660222</v>
      </c>
      <c r="G21" s="7">
        <v>662626.72740228579</v>
      </c>
      <c r="H21" s="7">
        <v>1520685.6770435134</v>
      </c>
      <c r="I21" s="7">
        <v>192.81423802211259</v>
      </c>
      <c r="J21" s="7">
        <v>0</v>
      </c>
      <c r="K21" s="4" t="s">
        <v>17</v>
      </c>
    </row>
    <row r="22" spans="1:11" ht="30" customHeight="1">
      <c r="A22" s="1" t="s">
        <v>49</v>
      </c>
      <c r="B22" s="4" t="s">
        <v>50</v>
      </c>
      <c r="C22" s="4" t="s">
        <v>21</v>
      </c>
      <c r="D22" s="5">
        <f t="shared" si="0"/>
        <v>43</v>
      </c>
      <c r="E22" s="6">
        <v>7961.3372717660222</v>
      </c>
      <c r="F22" s="6">
        <f t="shared" si="1"/>
        <v>7979.3372717660222</v>
      </c>
      <c r="G22" s="7">
        <v>662613.64772385778</v>
      </c>
      <c r="H22" s="7">
        <v>1520628.1727877869</v>
      </c>
      <c r="I22" s="7">
        <v>192.81423802211259</v>
      </c>
      <c r="J22" s="7">
        <v>215</v>
      </c>
      <c r="K22" s="4" t="s">
        <v>22</v>
      </c>
    </row>
    <row r="23" spans="1:11" ht="30" customHeight="1">
      <c r="A23" s="1" t="s">
        <v>51</v>
      </c>
      <c r="B23" s="4"/>
      <c r="C23" s="4" t="s">
        <v>25</v>
      </c>
      <c r="D23" s="5">
        <f t="shared" si="0"/>
        <v>42</v>
      </c>
      <c r="E23" s="6">
        <v>7979.3372717660222</v>
      </c>
      <c r="F23" s="6">
        <f t="shared" si="1"/>
        <v>8000.8239495378812</v>
      </c>
      <c r="G23" s="7">
        <v>662609.4113123857</v>
      </c>
      <c r="H23" s="7">
        <v>1520610.6798647859</v>
      </c>
      <c r="I23" s="7">
        <v>195.21266587004138</v>
      </c>
      <c r="J23" s="7">
        <v>215</v>
      </c>
      <c r="K23" s="4" t="s">
        <v>26</v>
      </c>
    </row>
    <row r="24" spans="1:11" ht="30" customHeight="1">
      <c r="A24" s="1" t="s">
        <v>52</v>
      </c>
      <c r="B24" s="4"/>
      <c r="C24" s="4" t="s">
        <v>29</v>
      </c>
      <c r="D24" s="5">
        <f t="shared" si="0"/>
        <v>41</v>
      </c>
      <c r="E24" s="6">
        <v>8000.8239495378812</v>
      </c>
      <c r="F24" s="6">
        <f t="shared" si="1"/>
        <v>8018.8239495378812</v>
      </c>
      <c r="G24" s="7">
        <v>662602.74735226808</v>
      </c>
      <c r="H24" s="7">
        <v>1520590.2621070575</v>
      </c>
      <c r="I24" s="7">
        <v>200.9386938990493</v>
      </c>
      <c r="J24" s="7">
        <v>215</v>
      </c>
      <c r="K24" s="4" t="s">
        <v>30</v>
      </c>
    </row>
    <row r="25" spans="1:11" ht="30" customHeight="1">
      <c r="A25" s="1" t="s">
        <v>53</v>
      </c>
      <c r="B25" s="4"/>
      <c r="C25" s="4" t="s">
        <v>33</v>
      </c>
      <c r="D25" s="5">
        <f t="shared" si="0"/>
        <v>40</v>
      </c>
      <c r="E25" s="6">
        <v>8018.8239495378812</v>
      </c>
      <c r="F25" s="6">
        <f t="shared" si="1"/>
        <v>8018.8240018921424</v>
      </c>
      <c r="G25" s="7">
        <v>662595.8486597829</v>
      </c>
      <c r="H25" s="7">
        <v>1520573.63810095</v>
      </c>
      <c r="I25" s="7">
        <v>203.33712174697808</v>
      </c>
      <c r="J25" s="7">
        <v>0</v>
      </c>
      <c r="K25" s="4" t="s">
        <v>17</v>
      </c>
    </row>
    <row r="26" spans="1:11" ht="30" customHeight="1">
      <c r="A26" s="1" t="s">
        <v>54</v>
      </c>
      <c r="B26" s="4" t="s">
        <v>55</v>
      </c>
      <c r="C26" s="4" t="s">
        <v>21</v>
      </c>
      <c r="D26" s="5">
        <f t="shared" si="0"/>
        <v>39</v>
      </c>
      <c r="E26" s="6">
        <v>8018.8240018921424</v>
      </c>
      <c r="F26" s="6">
        <f t="shared" si="1"/>
        <v>8036.8240018921424</v>
      </c>
      <c r="G26" s="7">
        <v>662595.8486364783</v>
      </c>
      <c r="H26" s="7">
        <v>1520573.6380539855</v>
      </c>
      <c r="I26" s="7">
        <v>203.33712174697808</v>
      </c>
      <c r="J26" s="7">
        <v>-215</v>
      </c>
      <c r="K26" s="4" t="s">
        <v>22</v>
      </c>
    </row>
    <row r="27" spans="1:11" ht="30" customHeight="1">
      <c r="A27" s="1" t="s">
        <v>56</v>
      </c>
      <c r="B27" s="4"/>
      <c r="C27" s="4" t="s">
        <v>25</v>
      </c>
      <c r="D27" s="5">
        <f t="shared" si="0"/>
        <v>38</v>
      </c>
      <c r="E27" s="6">
        <v>8036.8240018921424</v>
      </c>
      <c r="F27" s="6">
        <f t="shared" si="1"/>
        <v>8055.187135067189</v>
      </c>
      <c r="G27" s="7">
        <v>662588.94994399312</v>
      </c>
      <c r="H27" s="7">
        <v>1520557.0140478781</v>
      </c>
      <c r="I27" s="7">
        <v>200.9386938990493</v>
      </c>
      <c r="J27" s="7">
        <v>-215</v>
      </c>
      <c r="K27" s="4" t="s">
        <v>26</v>
      </c>
    </row>
    <row r="28" spans="1:11" ht="30" customHeight="1">
      <c r="A28" s="1" t="s">
        <v>57</v>
      </c>
      <c r="B28" s="4"/>
      <c r="C28" s="4" t="s">
        <v>29</v>
      </c>
      <c r="D28" s="5">
        <f t="shared" si="0"/>
        <v>37</v>
      </c>
      <c r="E28" s="6">
        <v>8055.187135067189</v>
      </c>
      <c r="F28" s="6">
        <f t="shared" si="1"/>
        <v>8073.187135067189</v>
      </c>
      <c r="G28" s="7">
        <v>662583.12747502641</v>
      </c>
      <c r="H28" s="7">
        <v>1520539.6043213806</v>
      </c>
      <c r="I28" s="7">
        <v>196.04506551610899</v>
      </c>
      <c r="J28" s="7">
        <v>-215</v>
      </c>
      <c r="K28" s="4" t="s">
        <v>30</v>
      </c>
    </row>
    <row r="29" spans="1:11" ht="30" customHeight="1">
      <c r="A29" s="1" t="s">
        <v>58</v>
      </c>
      <c r="B29" s="4"/>
      <c r="C29" s="4" t="s">
        <v>33</v>
      </c>
      <c r="D29" s="5">
        <f t="shared" si="0"/>
        <v>36</v>
      </c>
      <c r="E29" s="6">
        <v>8073.187135067189</v>
      </c>
      <c r="F29" s="6">
        <f t="shared" si="1"/>
        <v>8275.8468033955614</v>
      </c>
      <c r="G29" s="7">
        <v>662578.63738038123</v>
      </c>
      <c r="H29" s="7">
        <v>1520522.1747893342</v>
      </c>
      <c r="I29" s="7">
        <v>193.6466376681802</v>
      </c>
      <c r="J29" s="7">
        <v>0</v>
      </c>
      <c r="K29" s="4" t="s">
        <v>17</v>
      </c>
    </row>
    <row r="30" spans="1:11" ht="30" customHeight="1">
      <c r="A30" s="1" t="s">
        <v>59</v>
      </c>
      <c r="B30" s="4" t="s">
        <v>60</v>
      </c>
      <c r="C30" s="4" t="s">
        <v>61</v>
      </c>
      <c r="D30" s="5">
        <f t="shared" si="0"/>
        <v>35</v>
      </c>
      <c r="E30" s="6">
        <v>8275.8468033955614</v>
      </c>
      <c r="F30" s="6">
        <f t="shared" si="1"/>
        <v>8314.7883491453722</v>
      </c>
      <c r="G30" s="7">
        <v>662530.82323342899</v>
      </c>
      <c r="H30" s="7">
        <v>1520325.2363509373</v>
      </c>
      <c r="I30" s="7">
        <v>193.6466376681802</v>
      </c>
      <c r="J30" s="7">
        <v>-750</v>
      </c>
      <c r="K30" s="4" t="s">
        <v>26</v>
      </c>
    </row>
    <row r="31" spans="1:11" ht="30" customHeight="1">
      <c r="A31" s="1" t="s">
        <v>62</v>
      </c>
      <c r="B31" s="4"/>
      <c r="C31" s="4" t="s">
        <v>63</v>
      </c>
      <c r="D31" s="5">
        <f t="shared" si="0"/>
        <v>34</v>
      </c>
      <c r="E31" s="6">
        <v>8314.7883491453722</v>
      </c>
      <c r="F31" s="6">
        <f t="shared" si="1"/>
        <v>8370.0670298726436</v>
      </c>
      <c r="G31" s="7">
        <v>662522.62196055369</v>
      </c>
      <c r="H31" s="7">
        <v>1520287.1726877217</v>
      </c>
      <c r="I31" s="7">
        <v>190.67172268622906</v>
      </c>
      <c r="J31" s="7">
        <v>0</v>
      </c>
      <c r="K31" s="4" t="s">
        <v>17</v>
      </c>
    </row>
    <row r="32" spans="1:11" ht="30" customHeight="1">
      <c r="A32" s="1" t="s">
        <v>64</v>
      </c>
      <c r="B32" s="4" t="s">
        <v>65</v>
      </c>
      <c r="C32" s="4" t="s">
        <v>21</v>
      </c>
      <c r="D32" s="5">
        <f t="shared" si="0"/>
        <v>33</v>
      </c>
      <c r="E32" s="6">
        <v>8370.0670298726436</v>
      </c>
      <c r="F32" s="6">
        <f t="shared" si="1"/>
        <v>8390.0670298726436</v>
      </c>
      <c r="G32" s="7">
        <v>662512.38536128891</v>
      </c>
      <c r="H32" s="7">
        <v>1520232.8500904122</v>
      </c>
      <c r="I32" s="7">
        <v>190.67172268622906</v>
      </c>
      <c r="J32" s="7">
        <v>620</v>
      </c>
      <c r="K32" s="4" t="s">
        <v>22</v>
      </c>
    </row>
    <row r="33" spans="1:11" ht="30" customHeight="1">
      <c r="A33" s="1" t="s">
        <v>66</v>
      </c>
      <c r="B33" s="4"/>
      <c r="C33" s="4" t="s">
        <v>25</v>
      </c>
      <c r="D33" s="5">
        <f t="shared" si="0"/>
        <v>32</v>
      </c>
      <c r="E33" s="6">
        <v>8390.0670298726436</v>
      </c>
      <c r="F33" s="6">
        <f t="shared" si="1"/>
        <v>8416.265949351684</v>
      </c>
      <c r="G33" s="7">
        <v>662508.57616014127</v>
      </c>
      <c r="H33" s="7">
        <v>1520213.216427047</v>
      </c>
      <c r="I33" s="7">
        <v>191.59584811150629</v>
      </c>
      <c r="J33" s="7">
        <v>620</v>
      </c>
      <c r="K33" s="4" t="s">
        <v>26</v>
      </c>
    </row>
    <row r="34" spans="1:11" ht="30" customHeight="1">
      <c r="A34" s="1" t="s">
        <v>67</v>
      </c>
      <c r="B34" s="4"/>
      <c r="C34" s="4" t="s">
        <v>29</v>
      </c>
      <c r="D34" s="5">
        <f t="shared" si="0"/>
        <v>31</v>
      </c>
      <c r="E34" s="6">
        <v>8416.265949351684</v>
      </c>
      <c r="F34" s="6">
        <f t="shared" si="1"/>
        <v>8436.265949351684</v>
      </c>
      <c r="G34" s="7">
        <v>662502.7694067437</v>
      </c>
      <c r="H34" s="7">
        <v>1520187.6711169244</v>
      </c>
      <c r="I34" s="7">
        <v>194.01695713952995</v>
      </c>
      <c r="J34" s="7">
        <v>620</v>
      </c>
      <c r="K34" s="4" t="s">
        <v>30</v>
      </c>
    </row>
    <row r="35" spans="1:11" ht="30" customHeight="1">
      <c r="A35" s="1" t="s">
        <v>68</v>
      </c>
      <c r="B35" s="4"/>
      <c r="C35" s="4" t="s">
        <v>33</v>
      </c>
      <c r="D35" s="5">
        <f t="shared" si="0"/>
        <v>30</v>
      </c>
      <c r="E35" s="6">
        <v>8436.265949351684</v>
      </c>
      <c r="F35" s="6">
        <f t="shared" si="1"/>
        <v>8509.0428849791551</v>
      </c>
      <c r="G35" s="7">
        <v>662497.71691814542</v>
      </c>
      <c r="H35" s="7">
        <v>1520168.3200676148</v>
      </c>
      <c r="I35" s="7">
        <v>194.94108256480718</v>
      </c>
      <c r="J35" s="7">
        <v>0</v>
      </c>
      <c r="K35" s="4" t="s">
        <v>17</v>
      </c>
    </row>
    <row r="36" spans="1:11" ht="30" customHeight="1">
      <c r="A36" s="1" t="s">
        <v>69</v>
      </c>
      <c r="B36" s="4" t="s">
        <v>70</v>
      </c>
      <c r="C36" s="4" t="s">
        <v>21</v>
      </c>
      <c r="D36" s="5">
        <f t="shared" si="0"/>
        <v>29</v>
      </c>
      <c r="E36" s="6">
        <v>8509.0428849791551</v>
      </c>
      <c r="F36" s="6">
        <f t="shared" si="1"/>
        <v>8559.0428849791551</v>
      </c>
      <c r="G36" s="7">
        <v>662478.95315304922</v>
      </c>
      <c r="H36" s="7">
        <v>1520098.0036152103</v>
      </c>
      <c r="I36" s="7">
        <v>194.94108256480718</v>
      </c>
      <c r="J36" s="7">
        <v>245</v>
      </c>
      <c r="K36" s="4" t="s">
        <v>22</v>
      </c>
    </row>
    <row r="37" spans="1:11" ht="30" customHeight="1">
      <c r="A37" s="1" t="s">
        <v>71</v>
      </c>
      <c r="B37" s="4"/>
      <c r="C37" s="4" t="s">
        <v>25</v>
      </c>
      <c r="D37" s="5">
        <f t="shared" si="0"/>
        <v>28</v>
      </c>
      <c r="E37" s="6">
        <v>8559.0428849791551</v>
      </c>
      <c r="F37" s="6">
        <f t="shared" si="1"/>
        <v>8585.8750140794491</v>
      </c>
      <c r="G37" s="7">
        <v>662464.43332740897</v>
      </c>
      <c r="H37" s="7">
        <v>1520050.1824720583</v>
      </c>
      <c r="I37" s="7">
        <v>200.78759035737733</v>
      </c>
      <c r="J37" s="7">
        <v>245</v>
      </c>
      <c r="K37" s="4" t="s">
        <v>26</v>
      </c>
    </row>
    <row r="38" spans="1:11" ht="30" customHeight="1">
      <c r="A38" s="1" t="s">
        <v>72</v>
      </c>
      <c r="B38" s="4"/>
      <c r="C38" s="4" t="s">
        <v>29</v>
      </c>
      <c r="D38" s="5">
        <f t="shared" si="0"/>
        <v>27</v>
      </c>
      <c r="E38" s="6">
        <v>8585.8750140794491</v>
      </c>
      <c r="F38" s="6">
        <f t="shared" si="1"/>
        <v>8635.8750140794491</v>
      </c>
      <c r="G38" s="7">
        <v>662453.55721881823</v>
      </c>
      <c r="H38" s="7">
        <v>1520025.6681073885</v>
      </c>
      <c r="I38" s="7">
        <v>207.06256155816271</v>
      </c>
      <c r="J38" s="7">
        <v>245</v>
      </c>
      <c r="K38" s="4" t="s">
        <v>30</v>
      </c>
    </row>
    <row r="39" spans="1:11" ht="30" customHeight="1">
      <c r="A39" s="1" t="s">
        <v>73</v>
      </c>
      <c r="B39" s="4"/>
      <c r="C39" s="4" t="s">
        <v>33</v>
      </c>
      <c r="D39" s="5">
        <f t="shared" si="0"/>
        <v>26</v>
      </c>
      <c r="E39" s="6">
        <v>8635.8750140794491</v>
      </c>
      <c r="F39" s="6">
        <f t="shared" si="1"/>
        <v>8968.273435321109</v>
      </c>
      <c r="G39" s="7">
        <v>662427.84684173099</v>
      </c>
      <c r="H39" s="7">
        <v>1519982.8117942612</v>
      </c>
      <c r="I39" s="7">
        <v>212.90906935073286</v>
      </c>
      <c r="J39" s="7">
        <v>0</v>
      </c>
      <c r="K39" s="4" t="s">
        <v>17</v>
      </c>
    </row>
    <row r="40" spans="1:11" ht="30" customHeight="1">
      <c r="A40" s="1" t="s">
        <v>74</v>
      </c>
      <c r="B40" s="4" t="s">
        <v>75</v>
      </c>
      <c r="C40" s="4" t="s">
        <v>21</v>
      </c>
      <c r="D40" s="5">
        <f t="shared" si="0"/>
        <v>25</v>
      </c>
      <c r="E40" s="6">
        <v>8968.273435321109</v>
      </c>
      <c r="F40" s="6">
        <f t="shared" si="1"/>
        <v>9008.273435321109</v>
      </c>
      <c r="G40" s="7">
        <v>662247.25232190406</v>
      </c>
      <c r="H40" s="7">
        <v>1519703.7520697354</v>
      </c>
      <c r="I40" s="7">
        <v>212.90906935073286</v>
      </c>
      <c r="J40" s="7">
        <v>-280</v>
      </c>
      <c r="K40" s="4" t="s">
        <v>22</v>
      </c>
    </row>
    <row r="41" spans="1:11" ht="30" customHeight="1">
      <c r="A41" s="1" t="s">
        <v>76</v>
      </c>
      <c r="B41" s="4"/>
      <c r="C41" s="4" t="s">
        <v>25</v>
      </c>
      <c r="D41" s="5">
        <f t="shared" si="0"/>
        <v>24</v>
      </c>
      <c r="E41" s="6">
        <v>9008.273435321109</v>
      </c>
      <c r="F41" s="6">
        <f t="shared" si="1"/>
        <v>9066.8498928698264</v>
      </c>
      <c r="G41" s="7">
        <v>662226.33037904894</v>
      </c>
      <c r="H41" s="7">
        <v>1519669.6705964152</v>
      </c>
      <c r="I41" s="7">
        <v>208.81651389593375</v>
      </c>
      <c r="J41" s="7">
        <v>-280</v>
      </c>
      <c r="K41" s="4" t="s">
        <v>26</v>
      </c>
    </row>
    <row r="42" spans="1:11" ht="30" customHeight="1">
      <c r="A42" s="1" t="s">
        <v>77</v>
      </c>
      <c r="B42" s="4"/>
      <c r="C42" s="4" t="s">
        <v>29</v>
      </c>
      <c r="D42" s="5">
        <f t="shared" si="0"/>
        <v>23</v>
      </c>
      <c r="E42" s="6">
        <v>9066.8498928698264</v>
      </c>
      <c r="F42" s="6">
        <f t="shared" si="1"/>
        <v>9106.8498928698264</v>
      </c>
      <c r="G42" s="7">
        <v>662203.65051680419</v>
      </c>
      <c r="H42" s="7">
        <v>1519615.7787649445</v>
      </c>
      <c r="I42" s="7">
        <v>196.83014258894767</v>
      </c>
      <c r="J42" s="7">
        <v>-280</v>
      </c>
      <c r="K42" s="4" t="s">
        <v>30</v>
      </c>
    </row>
    <row r="43" spans="1:11" ht="30" customHeight="1">
      <c r="A43" s="1" t="s">
        <v>78</v>
      </c>
      <c r="B43" s="4"/>
      <c r="C43" s="4" t="s">
        <v>33</v>
      </c>
      <c r="D43" s="5">
        <f t="shared" si="0"/>
        <v>22</v>
      </c>
      <c r="E43" s="6">
        <v>9106.8498928698264</v>
      </c>
      <c r="F43" s="6">
        <f t="shared" si="1"/>
        <v>9132.0377407401102</v>
      </c>
      <c r="G43" s="7">
        <v>662193.90696692758</v>
      </c>
      <c r="H43" s="7">
        <v>1519576.9929717444</v>
      </c>
      <c r="I43" s="7">
        <v>192.73758713414855</v>
      </c>
      <c r="J43" s="7">
        <v>0</v>
      </c>
      <c r="K43" s="4" t="s">
        <v>17</v>
      </c>
    </row>
    <row r="44" spans="1:11" ht="30" customHeight="1">
      <c r="A44" s="1" t="s">
        <v>79</v>
      </c>
      <c r="B44" s="4" t="s">
        <v>80</v>
      </c>
      <c r="C44" s="4" t="s">
        <v>21</v>
      </c>
      <c r="D44" s="5">
        <f t="shared" si="0"/>
        <v>21</v>
      </c>
      <c r="E44" s="6">
        <v>9132.0377407401102</v>
      </c>
      <c r="F44" s="6">
        <f t="shared" si="1"/>
        <v>9172.0377407401102</v>
      </c>
      <c r="G44" s="7">
        <v>662188.35338891053</v>
      </c>
      <c r="H44" s="7">
        <v>1519552.4249956058</v>
      </c>
      <c r="I44" s="7">
        <v>192.73758713414855</v>
      </c>
      <c r="J44" s="7">
        <v>280</v>
      </c>
      <c r="K44" s="4" t="s">
        <v>22</v>
      </c>
    </row>
    <row r="45" spans="1:11" ht="30" customHeight="1">
      <c r="A45" s="1" t="s">
        <v>81</v>
      </c>
      <c r="B45" s="4"/>
      <c r="C45" s="4" t="s">
        <v>25</v>
      </c>
      <c r="D45" s="5">
        <f t="shared" si="0"/>
        <v>20</v>
      </c>
      <c r="E45" s="6">
        <v>9172.0377407401102</v>
      </c>
      <c r="F45" s="6">
        <f t="shared" si="1"/>
        <v>9305.8105857361552</v>
      </c>
      <c r="G45" s="7">
        <v>662178.60983903392</v>
      </c>
      <c r="H45" s="7">
        <v>1519513.6392024057</v>
      </c>
      <c r="I45" s="7">
        <v>196.83014258894767</v>
      </c>
      <c r="J45" s="7">
        <v>280</v>
      </c>
      <c r="K45" s="4" t="s">
        <v>26</v>
      </c>
    </row>
    <row r="46" spans="1:11" ht="30" customHeight="1">
      <c r="A46" s="1" t="s">
        <v>82</v>
      </c>
      <c r="B46" s="4"/>
      <c r="C46" s="4" t="s">
        <v>29</v>
      </c>
      <c r="D46" s="5">
        <f t="shared" si="0"/>
        <v>19</v>
      </c>
      <c r="E46" s="6">
        <v>9305.8105857361552</v>
      </c>
      <c r="F46" s="6">
        <f t="shared" si="1"/>
        <v>9345.8105857361552</v>
      </c>
      <c r="G46" s="7">
        <v>662111.32507465221</v>
      </c>
      <c r="H46" s="7">
        <v>1519399.4896267862</v>
      </c>
      <c r="I46" s="7">
        <v>224.20378414142354</v>
      </c>
      <c r="J46" s="7">
        <v>280</v>
      </c>
      <c r="K46" s="4" t="s">
        <v>30</v>
      </c>
    </row>
    <row r="47" spans="1:11" ht="30" customHeight="1">
      <c r="A47" s="1" t="s">
        <v>83</v>
      </c>
      <c r="B47" s="4"/>
      <c r="C47" s="4" t="s">
        <v>33</v>
      </c>
      <c r="D47" s="5">
        <f t="shared" si="0"/>
        <v>18</v>
      </c>
      <c r="E47" s="6">
        <v>9345.8105857361552</v>
      </c>
      <c r="F47" s="6">
        <f t="shared" si="1"/>
        <v>9372.8740936811646</v>
      </c>
      <c r="G47" s="7">
        <v>662082.1098485603</v>
      </c>
      <c r="H47" s="7">
        <v>1519372.1812932431</v>
      </c>
      <c r="I47" s="7">
        <v>228.29633959622265</v>
      </c>
      <c r="J47" s="7">
        <v>0</v>
      </c>
      <c r="K47" s="4" t="s">
        <v>17</v>
      </c>
    </row>
    <row r="48" spans="1:11" ht="30" customHeight="1">
      <c r="A48" s="1" t="s">
        <v>84</v>
      </c>
      <c r="B48" s="4" t="s">
        <v>85</v>
      </c>
      <c r="C48" s="4" t="s">
        <v>21</v>
      </c>
      <c r="D48" s="5">
        <f t="shared" si="0"/>
        <v>17</v>
      </c>
      <c r="E48" s="6">
        <v>9372.8740936811646</v>
      </c>
      <c r="F48" s="6">
        <f t="shared" si="1"/>
        <v>9422.8740936811646</v>
      </c>
      <c r="G48" s="7">
        <v>662061.90433954704</v>
      </c>
      <c r="H48" s="7">
        <v>1519354.1765475408</v>
      </c>
      <c r="I48" s="7">
        <v>228.29633959622265</v>
      </c>
      <c r="J48" s="7">
        <v>-450</v>
      </c>
      <c r="K48" s="4" t="s">
        <v>22</v>
      </c>
    </row>
    <row r="49" spans="1:11" ht="30" customHeight="1">
      <c r="A49" s="1" t="s">
        <v>86</v>
      </c>
      <c r="B49" s="4"/>
      <c r="C49" s="4" t="s">
        <v>25</v>
      </c>
      <c r="D49" s="5">
        <f t="shared" si="0"/>
        <v>16</v>
      </c>
      <c r="E49" s="6">
        <v>9422.8740936811646</v>
      </c>
      <c r="F49" s="6">
        <f t="shared" si="1"/>
        <v>9492.6123664099578</v>
      </c>
      <c r="G49" s="7">
        <v>662025.20193881437</v>
      </c>
      <c r="H49" s="7">
        <v>1519320.2317690186</v>
      </c>
      <c r="I49" s="7">
        <v>225.11324090915667</v>
      </c>
      <c r="J49" s="7">
        <v>-450</v>
      </c>
      <c r="K49" s="4" t="s">
        <v>26</v>
      </c>
    </row>
    <row r="50" spans="1:11" ht="30" customHeight="1">
      <c r="A50" s="1" t="s">
        <v>87</v>
      </c>
      <c r="B50" s="4"/>
      <c r="C50" s="4" t="s">
        <v>29</v>
      </c>
      <c r="D50" s="5">
        <f t="shared" si="0"/>
        <v>15</v>
      </c>
      <c r="E50" s="6">
        <v>9492.6123664099578</v>
      </c>
      <c r="F50" s="6">
        <f t="shared" si="1"/>
        <v>9542.6123664099578</v>
      </c>
      <c r="G50" s="7">
        <v>661979.79559320793</v>
      </c>
      <c r="H50" s="7">
        <v>1519267.3927253161</v>
      </c>
      <c r="I50" s="7">
        <v>216.23388777953261</v>
      </c>
      <c r="J50" s="7">
        <v>-450</v>
      </c>
      <c r="K50" s="4" t="s">
        <v>30</v>
      </c>
    </row>
    <row r="51" spans="1:11" ht="30" customHeight="1">
      <c r="A51" s="1" t="s">
        <v>88</v>
      </c>
      <c r="B51" s="4"/>
      <c r="C51" s="4" t="s">
        <v>33</v>
      </c>
      <c r="D51" s="5">
        <f t="shared" si="0"/>
        <v>14</v>
      </c>
      <c r="E51" s="6">
        <v>9542.6123664099578</v>
      </c>
      <c r="F51" s="6">
        <f t="shared" si="1"/>
        <v>9567.6124449940617</v>
      </c>
      <c r="G51" s="7">
        <v>661951.75896870089</v>
      </c>
      <c r="H51" s="7">
        <v>1519226.0011573709</v>
      </c>
      <c r="I51" s="7">
        <v>213.05078909246663</v>
      </c>
      <c r="J51" s="7">
        <v>0</v>
      </c>
      <c r="K51" s="4" t="s">
        <v>17</v>
      </c>
    </row>
    <row r="52" spans="1:11" ht="30" customHeight="1">
      <c r="A52" s="1" t="s">
        <v>89</v>
      </c>
      <c r="B52" s="4" t="s">
        <v>90</v>
      </c>
      <c r="C52" s="4" t="s">
        <v>21</v>
      </c>
      <c r="D52" s="5">
        <f t="shared" si="0"/>
        <v>13</v>
      </c>
      <c r="E52" s="6">
        <v>9567.6124449940617</v>
      </c>
      <c r="F52" s="6">
        <f t="shared" si="1"/>
        <v>9592.6124449940617</v>
      </c>
      <c r="G52" s="7">
        <v>661938.1243627019</v>
      </c>
      <c r="H52" s="7">
        <v>1519205.0464097355</v>
      </c>
      <c r="I52" s="7">
        <v>213.05078909246663</v>
      </c>
      <c r="J52" s="7">
        <v>700</v>
      </c>
      <c r="K52" s="4" t="s">
        <v>22</v>
      </c>
    </row>
    <row r="53" spans="1:11" ht="30" customHeight="1">
      <c r="A53" s="1" t="s">
        <v>91</v>
      </c>
      <c r="B53" s="4"/>
      <c r="C53" s="4" t="s">
        <v>25</v>
      </c>
      <c r="D53" s="5">
        <f t="shared" si="0"/>
        <v>12</v>
      </c>
      <c r="E53" s="6">
        <v>9592.6124449940617</v>
      </c>
      <c r="F53" s="6">
        <f t="shared" si="1"/>
        <v>9618.2924341704329</v>
      </c>
      <c r="G53" s="7">
        <v>661924.36551440007</v>
      </c>
      <c r="H53" s="7">
        <v>1519184.1735474905</v>
      </c>
      <c r="I53" s="7">
        <v>214.07392795616641</v>
      </c>
      <c r="J53" s="7">
        <v>700</v>
      </c>
      <c r="K53" s="4" t="s">
        <v>26</v>
      </c>
    </row>
    <row r="54" spans="1:11" ht="30" customHeight="1">
      <c r="A54" s="1" t="s">
        <v>92</v>
      </c>
      <c r="B54" s="4"/>
      <c r="C54" s="4" t="s">
        <v>29</v>
      </c>
      <c r="D54" s="5">
        <f t="shared" si="0"/>
        <v>11</v>
      </c>
      <c r="E54" s="6">
        <v>9618.2924341704329</v>
      </c>
      <c r="F54" s="6">
        <f t="shared" si="1"/>
        <v>9643.2924341704329</v>
      </c>
      <c r="G54" s="7">
        <v>661909.59108709346</v>
      </c>
      <c r="H54" s="7">
        <v>1519163.1710670583</v>
      </c>
      <c r="I54" s="7">
        <v>216.17586381172146</v>
      </c>
      <c r="J54" s="7">
        <v>700</v>
      </c>
      <c r="K54" s="4" t="s">
        <v>30</v>
      </c>
    </row>
    <row r="55" spans="1:11" ht="30" customHeight="1">
      <c r="A55" s="1" t="s">
        <v>93</v>
      </c>
      <c r="B55" s="4"/>
      <c r="C55" s="4" t="s">
        <v>33</v>
      </c>
      <c r="D55" s="5">
        <f t="shared" si="0"/>
        <v>10</v>
      </c>
      <c r="E55" s="6">
        <v>9643.2924341704329</v>
      </c>
      <c r="F55" s="6">
        <f t="shared" si="1"/>
        <v>9713.1414571010737</v>
      </c>
      <c r="G55" s="7">
        <v>661894.59546850319</v>
      </c>
      <c r="H55" s="7">
        <v>1519143.1682245652</v>
      </c>
      <c r="I55" s="7">
        <v>217.19900267542124</v>
      </c>
      <c r="J55" s="7">
        <v>0</v>
      </c>
      <c r="K55" s="4" t="s">
        <v>17</v>
      </c>
    </row>
    <row r="56" spans="1:11" ht="30" customHeight="1">
      <c r="A56" s="1" t="s">
        <v>94</v>
      </c>
      <c r="B56" s="4" t="s">
        <v>95</v>
      </c>
      <c r="C56" s="4" t="s">
        <v>21</v>
      </c>
      <c r="D56" s="5">
        <f t="shared" si="0"/>
        <v>9</v>
      </c>
      <c r="E56" s="6">
        <v>9713.1414571010737</v>
      </c>
      <c r="F56" s="6">
        <f t="shared" si="1"/>
        <v>9768.1414571010737</v>
      </c>
      <c r="G56" s="7">
        <v>661852.36577113776</v>
      </c>
      <c r="H56" s="7">
        <v>1519087.5306593347</v>
      </c>
      <c r="I56" s="7">
        <v>217.19900267542124</v>
      </c>
      <c r="J56" s="7">
        <v>-450</v>
      </c>
      <c r="K56" s="4" t="s">
        <v>22</v>
      </c>
    </row>
    <row r="57" spans="1:11" ht="30" customHeight="1">
      <c r="A57" s="1" t="s">
        <v>96</v>
      </c>
      <c r="B57" s="4"/>
      <c r="C57" s="4" t="s">
        <v>25</v>
      </c>
      <c r="D57" s="5">
        <f t="shared" si="0"/>
        <v>8</v>
      </c>
      <c r="E57" s="6">
        <v>9768.1414571010737</v>
      </c>
      <c r="F57" s="6">
        <f t="shared" si="1"/>
        <v>9828.8510452254632</v>
      </c>
      <c r="G57" s="7">
        <v>661820.01818209724</v>
      </c>
      <c r="H57" s="7">
        <v>1519043.0601135679</v>
      </c>
      <c r="I57" s="7">
        <v>213.69759411964867</v>
      </c>
      <c r="J57" s="7">
        <v>-450</v>
      </c>
      <c r="K57" s="4" t="s">
        <v>26</v>
      </c>
    </row>
    <row r="58" spans="1:11" ht="30" customHeight="1">
      <c r="A58" s="1" t="s">
        <v>97</v>
      </c>
      <c r="B58" s="4"/>
      <c r="C58" s="4" t="s">
        <v>29</v>
      </c>
      <c r="D58" s="5">
        <f t="shared" si="0"/>
        <v>7</v>
      </c>
      <c r="E58" s="6">
        <v>9828.8510452254632</v>
      </c>
      <c r="F58" s="6">
        <f t="shared" si="1"/>
        <v>9883.8510452254632</v>
      </c>
      <c r="G58" s="7">
        <v>661789.83993433777</v>
      </c>
      <c r="H58" s="7">
        <v>1518990.4355879133</v>
      </c>
      <c r="I58" s="7">
        <v>205.96780878657069</v>
      </c>
      <c r="J58" s="7">
        <v>-450</v>
      </c>
      <c r="K58" s="4" t="s">
        <v>30</v>
      </c>
    </row>
    <row r="59" spans="1:11" ht="30" customHeight="1">
      <c r="A59" s="1" t="s">
        <v>98</v>
      </c>
      <c r="B59" s="4"/>
      <c r="C59" s="4" t="s">
        <v>33</v>
      </c>
      <c r="D59" s="5">
        <f t="shared" si="0"/>
        <v>6</v>
      </c>
      <c r="E59" s="6">
        <v>9883.8510452254632</v>
      </c>
      <c r="F59" s="6">
        <f t="shared" si="1"/>
        <v>9908.8511107039594</v>
      </c>
      <c r="G59" s="7">
        <v>661767.79493438546</v>
      </c>
      <c r="H59" s="7">
        <v>1518940.056882713</v>
      </c>
      <c r="I59" s="7">
        <v>202.46640023079811</v>
      </c>
      <c r="J59" s="7">
        <v>0</v>
      </c>
      <c r="K59" s="4" t="s">
        <v>17</v>
      </c>
    </row>
    <row r="60" spans="1:11" ht="30" customHeight="1">
      <c r="A60" s="1" t="s">
        <v>99</v>
      </c>
      <c r="B60" s="4" t="s">
        <v>100</v>
      </c>
      <c r="C60" s="4" t="s">
        <v>21</v>
      </c>
      <c r="D60" s="5">
        <f t="shared" si="0"/>
        <v>5</v>
      </c>
      <c r="E60" s="6">
        <v>9908.8511107039594</v>
      </c>
      <c r="F60" s="6">
        <f t="shared" si="1"/>
        <v>9938.8511107039594</v>
      </c>
      <c r="G60" s="7">
        <v>661758.24136347196</v>
      </c>
      <c r="H60" s="7">
        <v>1518916.9542301223</v>
      </c>
      <c r="I60" s="7">
        <v>202.46640023079811</v>
      </c>
      <c r="J60" s="7">
        <v>-830</v>
      </c>
      <c r="K60" s="4" t="s">
        <v>22</v>
      </c>
    </row>
    <row r="61" spans="1:11" ht="30" customHeight="1">
      <c r="A61" s="1" t="s">
        <v>101</v>
      </c>
      <c r="B61" s="4"/>
      <c r="C61" s="4" t="s">
        <v>25</v>
      </c>
      <c r="D61" s="5">
        <f t="shared" si="0"/>
        <v>4</v>
      </c>
      <c r="E61" s="6">
        <v>9938.8511107039594</v>
      </c>
      <c r="F61" s="6">
        <f t="shared" si="1"/>
        <v>9969.2965992767367</v>
      </c>
      <c r="G61" s="7">
        <v>661746.94449409994</v>
      </c>
      <c r="H61" s="7">
        <v>1518889.1629614579</v>
      </c>
      <c r="I61" s="7">
        <v>201.43093439283689</v>
      </c>
      <c r="J61" s="7">
        <v>-830</v>
      </c>
      <c r="K61" s="4" t="s">
        <v>26</v>
      </c>
    </row>
    <row r="62" spans="1:11" ht="30" customHeight="1">
      <c r="A62" s="1" t="s">
        <v>102</v>
      </c>
      <c r="B62" s="4"/>
      <c r="C62" s="4" t="s">
        <v>29</v>
      </c>
      <c r="D62" s="5">
        <f t="shared" si="0"/>
        <v>3</v>
      </c>
      <c r="E62" s="6">
        <v>9969.2965992767367</v>
      </c>
      <c r="F62" s="6">
        <f t="shared" si="1"/>
        <v>9999.2965992767367</v>
      </c>
      <c r="G62" s="7">
        <v>661736.34255868278</v>
      </c>
      <c r="H62" s="7">
        <v>1518860.6248674204</v>
      </c>
      <c r="I62" s="7">
        <v>199.32924990893508</v>
      </c>
      <c r="J62" s="7">
        <v>-830</v>
      </c>
      <c r="K62" s="4" t="s">
        <v>30</v>
      </c>
    </row>
    <row r="63" spans="1:11" ht="30" customHeight="1">
      <c r="A63" s="1" t="s">
        <v>103</v>
      </c>
      <c r="B63" s="4"/>
      <c r="C63" s="4" t="s">
        <v>33</v>
      </c>
      <c r="D63" s="5">
        <f t="shared" si="0"/>
        <v>2</v>
      </c>
      <c r="E63" s="6">
        <v>9999.2965992767367</v>
      </c>
      <c r="F63" s="6">
        <f t="shared" si="1"/>
        <v>10324.339349976852</v>
      </c>
      <c r="G63" s="7">
        <v>661726.75459835248</v>
      </c>
      <c r="H63" s="7">
        <v>1518832.1987370374</v>
      </c>
      <c r="I63" s="7">
        <v>198.29378407097386</v>
      </c>
      <c r="J63" s="7">
        <v>0</v>
      </c>
      <c r="K63" s="4" t="s">
        <v>17</v>
      </c>
    </row>
    <row r="64" spans="1:11" ht="30" customHeight="1">
      <c r="A64" s="1" t="s">
        <v>104</v>
      </c>
      <c r="B64" s="4" t="s">
        <v>15</v>
      </c>
      <c r="C64" s="4" t="s">
        <v>105</v>
      </c>
      <c r="D64" s="5">
        <f t="shared" si="0"/>
        <v>1</v>
      </c>
      <c r="E64" s="6">
        <v>10324.339349976852</v>
      </c>
      <c r="F64" s="6">
        <f>E64+0.002</f>
        <v>10324.341349976852</v>
      </c>
      <c r="G64" s="7">
        <v>661624.72710000002</v>
      </c>
      <c r="H64" s="7">
        <v>1518523.5837999999</v>
      </c>
      <c r="I64" s="7">
        <v>198.29378407097386</v>
      </c>
      <c r="J64" s="7">
        <v>0</v>
      </c>
      <c r="K64" s="4" t="s">
        <v>17</v>
      </c>
    </row>
  </sheetData>
  <mergeCells count="2">
    <mergeCell ref="C2:E2"/>
    <mergeCell ref="B3:L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D3F72-8830-4D5A-8E36-0209C552C649}">
  <sheetPr codeName="Sheet3"/>
  <dimension ref="A2:N26"/>
  <sheetViews>
    <sheetView zoomScale="70" zoomScaleNormal="70" workbookViewId="0">
      <selection activeCell="G14" sqref="G14"/>
    </sheetView>
  </sheetViews>
  <sheetFormatPr defaultRowHeight="30" customHeight="1"/>
  <cols>
    <col min="1" max="1" width="8.88671875" style="1"/>
    <col min="2" max="2" width="25.77734375" style="1" customWidth="1"/>
    <col min="3" max="4" width="15.77734375" style="1" customWidth="1"/>
    <col min="5" max="13" width="20.77734375" style="1" customWidth="1"/>
    <col min="14" max="14" width="30.77734375" style="1" customWidth="1"/>
    <col min="15" max="16384" width="8.88671875" style="1"/>
  </cols>
  <sheetData>
    <row r="2" spans="1:14" ht="30" customHeight="1">
      <c r="B2" s="2" t="s">
        <v>0</v>
      </c>
      <c r="C2" s="15" t="s">
        <v>106</v>
      </c>
      <c r="D2" s="15"/>
      <c r="E2" s="15"/>
    </row>
    <row r="3" spans="1:14" ht="40.049999999999997" customHeight="1">
      <c r="B3" s="14" t="s">
        <v>107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</row>
    <row r="4" spans="1:14" ht="30" customHeight="1">
      <c r="B4" s="2" t="s">
        <v>108</v>
      </c>
      <c r="C4" s="2" t="s">
        <v>4</v>
      </c>
      <c r="D4" s="2" t="s">
        <v>5</v>
      </c>
      <c r="E4" s="2" t="s">
        <v>6</v>
      </c>
      <c r="F4" s="2" t="s">
        <v>7</v>
      </c>
      <c r="G4" s="2" t="s">
        <v>109</v>
      </c>
      <c r="H4" s="2" t="s">
        <v>110</v>
      </c>
      <c r="I4" s="2" t="s">
        <v>111</v>
      </c>
      <c r="J4" s="2" t="s">
        <v>112</v>
      </c>
      <c r="K4" s="2" t="s">
        <v>113</v>
      </c>
      <c r="L4" s="2" t="s">
        <v>114</v>
      </c>
      <c r="M4" s="2" t="s">
        <v>12</v>
      </c>
      <c r="N4" s="2" t="s">
        <v>13</v>
      </c>
    </row>
    <row r="5" spans="1:14" ht="30" customHeight="1">
      <c r="A5" s="1" t="s">
        <v>14</v>
      </c>
      <c r="B5" s="4" t="s">
        <v>15</v>
      </c>
      <c r="C5" s="4" t="s">
        <v>16</v>
      </c>
      <c r="D5" s="5">
        <f t="shared" ref="D5:D26" si="0">D6 + 1</f>
        <v>22</v>
      </c>
      <c r="E5" s="6">
        <v>7202.8339999999998</v>
      </c>
      <c r="F5" s="6">
        <f t="shared" ref="F5:F25" si="1">E6</f>
        <v>7235.4389000000001</v>
      </c>
      <c r="G5" s="7">
        <v>67.2</v>
      </c>
      <c r="H5" s="7">
        <v>0</v>
      </c>
      <c r="I5" s="7">
        <v>0</v>
      </c>
      <c r="J5" s="7"/>
      <c r="K5" s="7"/>
      <c r="L5" s="7"/>
      <c r="M5" s="4" t="s">
        <v>17</v>
      </c>
      <c r="N5" s="8" t="s">
        <v>115</v>
      </c>
    </row>
    <row r="6" spans="1:14" ht="30" customHeight="1">
      <c r="A6" s="1" t="s">
        <v>19</v>
      </c>
      <c r="B6" s="4" t="s">
        <v>20</v>
      </c>
      <c r="C6" s="4" t="s">
        <v>116</v>
      </c>
      <c r="D6" s="5">
        <f t="shared" si="0"/>
        <v>21</v>
      </c>
      <c r="E6" s="6">
        <v>7235.4389000000001</v>
      </c>
      <c r="F6" s="6">
        <f t="shared" si="1"/>
        <v>7325.4389000000001</v>
      </c>
      <c r="G6" s="7">
        <v>67.2</v>
      </c>
      <c r="H6" s="7">
        <v>0</v>
      </c>
      <c r="I6" s="7">
        <v>3.1602443836330272</v>
      </c>
      <c r="J6" s="7">
        <v>90</v>
      </c>
      <c r="K6" s="7">
        <v>0</v>
      </c>
      <c r="L6" s="7">
        <v>0</v>
      </c>
      <c r="M6" s="4" t="s">
        <v>117</v>
      </c>
      <c r="N6" s="8" t="s">
        <v>118</v>
      </c>
    </row>
    <row r="7" spans="1:14" ht="30" customHeight="1">
      <c r="A7" s="1" t="s">
        <v>24</v>
      </c>
      <c r="B7" s="4"/>
      <c r="C7" s="4" t="s">
        <v>119</v>
      </c>
      <c r="D7" s="5">
        <f t="shared" si="0"/>
        <v>20</v>
      </c>
      <c r="E7" s="6">
        <v>7325.4389000000001</v>
      </c>
      <c r="F7" s="6">
        <f t="shared" si="1"/>
        <v>7555.5415000000003</v>
      </c>
      <c r="G7" s="7">
        <v>68.62210997263486</v>
      </c>
      <c r="H7" s="7">
        <v>3.1602443836330272</v>
      </c>
      <c r="I7" s="7">
        <v>3.1602443836330272</v>
      </c>
      <c r="J7" s="7"/>
      <c r="K7" s="7"/>
      <c r="L7" s="7"/>
      <c r="M7" s="4" t="s">
        <v>17</v>
      </c>
      <c r="N7" s="8" t="s">
        <v>120</v>
      </c>
    </row>
    <row r="8" spans="1:14" ht="30" customHeight="1">
      <c r="A8" s="1" t="s">
        <v>121</v>
      </c>
      <c r="B8" s="4" t="s">
        <v>35</v>
      </c>
      <c r="C8" s="4" t="s">
        <v>116</v>
      </c>
      <c r="D8" s="5">
        <f t="shared" si="0"/>
        <v>19</v>
      </c>
      <c r="E8" s="6">
        <v>7555.5415000000003</v>
      </c>
      <c r="F8" s="6">
        <f t="shared" si="1"/>
        <v>7625.5415000000003</v>
      </c>
      <c r="G8" s="7">
        <v>75.893914465728443</v>
      </c>
      <c r="H8" s="7">
        <v>3.1602443836330272</v>
      </c>
      <c r="I8" s="7">
        <v>0</v>
      </c>
      <c r="J8" s="7">
        <v>70</v>
      </c>
      <c r="K8" s="7">
        <v>0</v>
      </c>
      <c r="L8" s="7">
        <v>0</v>
      </c>
      <c r="M8" s="4" t="s">
        <v>117</v>
      </c>
    </row>
    <row r="9" spans="1:14" ht="30" customHeight="1">
      <c r="A9" s="1" t="s">
        <v>122</v>
      </c>
      <c r="B9" s="4"/>
      <c r="C9" s="4" t="s">
        <v>119</v>
      </c>
      <c r="D9" s="5">
        <f t="shared" si="0"/>
        <v>18</v>
      </c>
      <c r="E9" s="6">
        <v>7625.5415000000003</v>
      </c>
      <c r="F9" s="6">
        <f t="shared" si="1"/>
        <v>7681.6205</v>
      </c>
      <c r="G9" s="7">
        <v>77</v>
      </c>
      <c r="H9" s="7">
        <v>0</v>
      </c>
      <c r="I9" s="7">
        <v>0</v>
      </c>
      <c r="J9" s="7"/>
      <c r="K9" s="7"/>
      <c r="L9" s="7"/>
      <c r="M9" s="4" t="s">
        <v>17</v>
      </c>
    </row>
    <row r="10" spans="1:14" ht="30" customHeight="1">
      <c r="A10" s="1" t="s">
        <v>123</v>
      </c>
      <c r="B10" s="4" t="s">
        <v>40</v>
      </c>
      <c r="C10" s="4" t="s">
        <v>116</v>
      </c>
      <c r="D10" s="5">
        <f t="shared" si="0"/>
        <v>17</v>
      </c>
      <c r="E10" s="6">
        <v>7681.6205</v>
      </c>
      <c r="F10" s="6">
        <f t="shared" si="1"/>
        <v>7731.6205</v>
      </c>
      <c r="G10" s="7">
        <v>77</v>
      </c>
      <c r="H10" s="7">
        <v>0</v>
      </c>
      <c r="I10" s="7">
        <v>0.77500004843750181</v>
      </c>
      <c r="J10" s="7">
        <v>50</v>
      </c>
      <c r="K10" s="7">
        <v>0</v>
      </c>
      <c r="L10" s="7">
        <v>0</v>
      </c>
      <c r="M10" s="4" t="s">
        <v>117</v>
      </c>
    </row>
    <row r="11" spans="1:14" ht="30" customHeight="1">
      <c r="A11" s="1" t="s">
        <v>124</v>
      </c>
      <c r="B11" s="4"/>
      <c r="C11" s="4" t="s">
        <v>119</v>
      </c>
      <c r="D11" s="5">
        <f t="shared" si="0"/>
        <v>16</v>
      </c>
      <c r="E11" s="6">
        <v>7731.6205</v>
      </c>
      <c r="F11" s="6">
        <f t="shared" si="1"/>
        <v>7929.6850000000004</v>
      </c>
      <c r="G11" s="7">
        <v>77.193750012109376</v>
      </c>
      <c r="H11" s="7">
        <v>0.77500004843750181</v>
      </c>
      <c r="I11" s="7">
        <v>0.77500004843750181</v>
      </c>
      <c r="J11" s="7"/>
      <c r="K11" s="7"/>
      <c r="L11" s="7"/>
      <c r="M11" s="4" t="s">
        <v>17</v>
      </c>
    </row>
    <row r="12" spans="1:14" ht="30" customHeight="1">
      <c r="A12" s="1" t="s">
        <v>125</v>
      </c>
      <c r="B12" s="4" t="s">
        <v>45</v>
      </c>
      <c r="C12" s="4" t="s">
        <v>116</v>
      </c>
      <c r="D12" s="5">
        <f t="shared" si="0"/>
        <v>15</v>
      </c>
      <c r="E12" s="6">
        <v>7929.6850000000004</v>
      </c>
      <c r="F12" s="6">
        <f t="shared" si="1"/>
        <v>7999.6850000000004</v>
      </c>
      <c r="G12" s="7">
        <v>78.728749983046868</v>
      </c>
      <c r="H12" s="7">
        <v>0.77500004843750181</v>
      </c>
      <c r="I12" s="7">
        <v>0</v>
      </c>
      <c r="J12" s="7">
        <v>70</v>
      </c>
      <c r="K12" s="7">
        <v>0</v>
      </c>
      <c r="L12" s="7">
        <v>0</v>
      </c>
      <c r="M12" s="4" t="s">
        <v>117</v>
      </c>
    </row>
    <row r="13" spans="1:14" ht="30" customHeight="1">
      <c r="A13" s="1" t="s">
        <v>126</v>
      </c>
      <c r="B13" s="4"/>
      <c r="C13" s="4" t="s">
        <v>119</v>
      </c>
      <c r="D13" s="5">
        <f t="shared" si="0"/>
        <v>14</v>
      </c>
      <c r="E13" s="6">
        <v>7999.6850000000004</v>
      </c>
      <c r="F13" s="6">
        <f t="shared" si="1"/>
        <v>8370.0452999999998</v>
      </c>
      <c r="G13" s="7">
        <v>79</v>
      </c>
      <c r="H13" s="7">
        <v>0</v>
      </c>
      <c r="I13" s="7">
        <v>0</v>
      </c>
      <c r="J13" s="7"/>
      <c r="K13" s="7"/>
      <c r="L13" s="7"/>
      <c r="M13" s="4" t="s">
        <v>17</v>
      </c>
    </row>
    <row r="14" spans="1:14" ht="30" customHeight="1">
      <c r="A14" s="1" t="s">
        <v>127</v>
      </c>
      <c r="B14" s="4" t="s">
        <v>50</v>
      </c>
      <c r="C14" s="4" t="s">
        <v>116</v>
      </c>
      <c r="D14" s="5">
        <f t="shared" si="0"/>
        <v>13</v>
      </c>
      <c r="E14" s="6">
        <v>8370.0452999999998</v>
      </c>
      <c r="F14" s="6">
        <f t="shared" si="1"/>
        <v>8470.0452999999998</v>
      </c>
      <c r="G14" s="7">
        <v>79</v>
      </c>
      <c r="H14" s="7">
        <v>0</v>
      </c>
      <c r="I14" s="7">
        <v>-3.4999904130665866</v>
      </c>
      <c r="J14" s="7">
        <v>100</v>
      </c>
      <c r="K14" s="7">
        <v>0</v>
      </c>
      <c r="L14" s="7">
        <v>0</v>
      </c>
      <c r="M14" s="4" t="s">
        <v>117</v>
      </c>
    </row>
    <row r="15" spans="1:14" ht="30" customHeight="1">
      <c r="A15" s="1" t="s">
        <v>128</v>
      </c>
      <c r="B15" s="4"/>
      <c r="C15" s="4" t="s">
        <v>119</v>
      </c>
      <c r="D15" s="5">
        <f t="shared" si="0"/>
        <v>12</v>
      </c>
      <c r="E15" s="6">
        <v>8470.0452999999998</v>
      </c>
      <c r="F15" s="6">
        <f t="shared" si="1"/>
        <v>8681.4632000000001</v>
      </c>
      <c r="G15" s="7">
        <v>77.250004793466701</v>
      </c>
      <c r="H15" s="7">
        <v>-3.4999904130665866</v>
      </c>
      <c r="I15" s="7">
        <v>-3.4999904130665866</v>
      </c>
      <c r="J15" s="7"/>
      <c r="K15" s="7"/>
      <c r="L15" s="7"/>
      <c r="M15" s="4" t="s">
        <v>17</v>
      </c>
    </row>
    <row r="16" spans="1:14" ht="30" customHeight="1">
      <c r="A16" s="1" t="s">
        <v>129</v>
      </c>
      <c r="B16" s="4" t="s">
        <v>55</v>
      </c>
      <c r="C16" s="4" t="s">
        <v>116</v>
      </c>
      <c r="D16" s="5">
        <f t="shared" si="0"/>
        <v>11</v>
      </c>
      <c r="E16" s="6">
        <v>8681.4632000000001</v>
      </c>
      <c r="F16" s="6">
        <f t="shared" si="1"/>
        <v>8711.4632000000001</v>
      </c>
      <c r="G16" s="7">
        <v>69.850398561959992</v>
      </c>
      <c r="H16" s="7">
        <v>-3.4999904130665866</v>
      </c>
      <c r="I16" s="7">
        <v>-2.9700089112567607</v>
      </c>
      <c r="J16" s="7">
        <v>30</v>
      </c>
      <c r="K16" s="7">
        <v>0</v>
      </c>
      <c r="L16" s="7">
        <v>0</v>
      </c>
      <c r="M16" s="4" t="s">
        <v>117</v>
      </c>
    </row>
    <row r="17" spans="1:13" ht="30" customHeight="1">
      <c r="A17" s="1" t="s">
        <v>130</v>
      </c>
      <c r="B17" s="4"/>
      <c r="C17" s="4" t="s">
        <v>119</v>
      </c>
      <c r="D17" s="5">
        <f t="shared" si="0"/>
        <v>10</v>
      </c>
      <c r="E17" s="6">
        <v>8711.4632000000001</v>
      </c>
      <c r="F17" s="6">
        <f t="shared" si="1"/>
        <v>8940.3983000000007</v>
      </c>
      <c r="G17" s="7">
        <v>68.879898663311494</v>
      </c>
      <c r="H17" s="7">
        <v>-2.9700089112567607</v>
      </c>
      <c r="I17" s="7">
        <v>-2.9700089112567607</v>
      </c>
      <c r="J17" s="7"/>
      <c r="K17" s="7"/>
      <c r="L17" s="7"/>
      <c r="M17" s="4" t="s">
        <v>17</v>
      </c>
    </row>
    <row r="18" spans="1:13" ht="30" customHeight="1">
      <c r="A18" s="1" t="s">
        <v>131</v>
      </c>
      <c r="B18" s="4" t="s">
        <v>60</v>
      </c>
      <c r="C18" s="4" t="s">
        <v>116</v>
      </c>
      <c r="D18" s="5">
        <f t="shared" si="0"/>
        <v>9</v>
      </c>
      <c r="E18" s="6">
        <v>8940.3983000000007</v>
      </c>
      <c r="F18" s="6">
        <f t="shared" si="1"/>
        <v>9070.3983000000007</v>
      </c>
      <c r="G18" s="7">
        <v>62.080505792316892</v>
      </c>
      <c r="H18" s="7">
        <v>-2.9700089112567607</v>
      </c>
      <c r="I18" s="7">
        <v>0</v>
      </c>
      <c r="J18" s="7">
        <v>130</v>
      </c>
      <c r="K18" s="7">
        <v>0</v>
      </c>
      <c r="L18" s="7">
        <v>0</v>
      </c>
      <c r="M18" s="4" t="s">
        <v>117</v>
      </c>
    </row>
    <row r="19" spans="1:13" ht="30" customHeight="1">
      <c r="A19" s="1" t="s">
        <v>132</v>
      </c>
      <c r="B19" s="4"/>
      <c r="C19" s="4" t="s">
        <v>119</v>
      </c>
      <c r="D19" s="5">
        <f t="shared" si="0"/>
        <v>8</v>
      </c>
      <c r="E19" s="6">
        <v>9070.3983000000007</v>
      </c>
      <c r="F19" s="6">
        <f t="shared" si="1"/>
        <v>9129.3547999999992</v>
      </c>
      <c r="G19" s="7">
        <v>60.15</v>
      </c>
      <c r="H19" s="7">
        <v>0</v>
      </c>
      <c r="I19" s="7">
        <v>0</v>
      </c>
      <c r="J19" s="7"/>
      <c r="K19" s="7"/>
      <c r="L19" s="7"/>
      <c r="M19" s="4" t="s">
        <v>17</v>
      </c>
    </row>
    <row r="20" spans="1:13" ht="30" customHeight="1">
      <c r="A20" s="1" t="s">
        <v>133</v>
      </c>
      <c r="B20" s="4" t="s">
        <v>65</v>
      </c>
      <c r="C20" s="4" t="s">
        <v>116</v>
      </c>
      <c r="D20" s="5">
        <f t="shared" si="0"/>
        <v>7</v>
      </c>
      <c r="E20" s="6">
        <v>9129.3547999999992</v>
      </c>
      <c r="F20" s="6">
        <f t="shared" si="1"/>
        <v>9179.3547999999992</v>
      </c>
      <c r="G20" s="7">
        <v>60.15</v>
      </c>
      <c r="H20" s="7">
        <v>0</v>
      </c>
      <c r="I20" s="7">
        <v>0.26025641296382518</v>
      </c>
      <c r="J20" s="7">
        <v>50</v>
      </c>
      <c r="K20" s="7">
        <v>0</v>
      </c>
      <c r="L20" s="7">
        <v>0</v>
      </c>
      <c r="M20" s="4" t="s">
        <v>117</v>
      </c>
    </row>
    <row r="21" spans="1:13" ht="30" customHeight="1">
      <c r="A21" s="1" t="s">
        <v>134</v>
      </c>
      <c r="B21" s="4"/>
      <c r="C21" s="4" t="s">
        <v>119</v>
      </c>
      <c r="D21" s="5">
        <f t="shared" si="0"/>
        <v>6</v>
      </c>
      <c r="E21" s="6">
        <v>9179.3547999999992</v>
      </c>
      <c r="F21" s="6">
        <f t="shared" si="1"/>
        <v>9353.6213000000007</v>
      </c>
      <c r="G21" s="7">
        <v>60.215064103240955</v>
      </c>
      <c r="H21" s="7">
        <v>0.26025641296382518</v>
      </c>
      <c r="I21" s="7">
        <v>0.26025641296382518</v>
      </c>
      <c r="J21" s="7"/>
      <c r="K21" s="7"/>
      <c r="L21" s="7"/>
      <c r="M21" s="4" t="s">
        <v>17</v>
      </c>
    </row>
    <row r="22" spans="1:13" ht="30" customHeight="1">
      <c r="A22" s="1" t="s">
        <v>135</v>
      </c>
      <c r="B22" s="4" t="s">
        <v>70</v>
      </c>
      <c r="C22" s="4" t="s">
        <v>116</v>
      </c>
      <c r="D22" s="5">
        <f t="shared" si="0"/>
        <v>5</v>
      </c>
      <c r="E22" s="6">
        <v>9353.6213000000007</v>
      </c>
      <c r="F22" s="6">
        <f t="shared" si="1"/>
        <v>9428.6213000000007</v>
      </c>
      <c r="G22" s="7">
        <v>60.668603845138563</v>
      </c>
      <c r="H22" s="7">
        <v>0.26025641296382518</v>
      </c>
      <c r="I22" s="7">
        <v>3.2799984357129457</v>
      </c>
      <c r="J22" s="7">
        <v>75</v>
      </c>
      <c r="K22" s="7">
        <v>0</v>
      </c>
      <c r="L22" s="7">
        <v>0</v>
      </c>
      <c r="M22" s="4" t="s">
        <v>117</v>
      </c>
    </row>
    <row r="23" spans="1:13" ht="30" customHeight="1">
      <c r="A23" s="1" t="s">
        <v>136</v>
      </c>
      <c r="B23" s="4"/>
      <c r="C23" s="4" t="s">
        <v>119</v>
      </c>
      <c r="D23" s="5">
        <f t="shared" si="0"/>
        <v>4</v>
      </c>
      <c r="E23" s="6">
        <v>9428.6213000000007</v>
      </c>
      <c r="F23" s="6">
        <f t="shared" si="1"/>
        <v>9944.5910999999996</v>
      </c>
      <c r="G23" s="7">
        <v>61.996199413392354</v>
      </c>
      <c r="H23" s="7">
        <v>3.2799984357129457</v>
      </c>
      <c r="I23" s="7">
        <v>3.2799984357129457</v>
      </c>
      <c r="J23" s="7"/>
      <c r="K23" s="7"/>
      <c r="L23" s="7"/>
      <c r="M23" s="4" t="s">
        <v>17</v>
      </c>
    </row>
    <row r="24" spans="1:13" ht="30" customHeight="1">
      <c r="A24" s="1" t="s">
        <v>137</v>
      </c>
      <c r="B24" s="4" t="s">
        <v>75</v>
      </c>
      <c r="C24" s="4" t="s">
        <v>116</v>
      </c>
      <c r="D24" s="5">
        <f t="shared" si="0"/>
        <v>3</v>
      </c>
      <c r="E24" s="6">
        <v>9944.5910999999996</v>
      </c>
      <c r="F24" s="6">
        <f t="shared" si="1"/>
        <v>10044.5911</v>
      </c>
      <c r="G24" s="7">
        <v>78.920000782143532</v>
      </c>
      <c r="H24" s="7">
        <v>3.2799984357129457</v>
      </c>
      <c r="I24" s="7">
        <v>0</v>
      </c>
      <c r="J24" s="7">
        <v>100</v>
      </c>
      <c r="K24" s="7">
        <v>0</v>
      </c>
      <c r="L24" s="7">
        <v>0</v>
      </c>
      <c r="M24" s="4" t="s">
        <v>117</v>
      </c>
    </row>
    <row r="25" spans="1:13" ht="30" customHeight="1">
      <c r="A25" s="1" t="s">
        <v>138</v>
      </c>
      <c r="B25" s="4"/>
      <c r="C25" s="4" t="s">
        <v>119</v>
      </c>
      <c r="D25" s="5">
        <f t="shared" si="0"/>
        <v>2</v>
      </c>
      <c r="E25" s="6">
        <v>10044.5911</v>
      </c>
      <c r="F25" s="6">
        <f t="shared" si="1"/>
        <v>10324.339400000001</v>
      </c>
      <c r="G25" s="7">
        <v>80.56</v>
      </c>
      <c r="H25" s="7">
        <v>0</v>
      </c>
      <c r="I25" s="7">
        <v>0</v>
      </c>
      <c r="J25" s="7"/>
      <c r="K25" s="7"/>
      <c r="L25" s="7"/>
      <c r="M25" s="4" t="s">
        <v>17</v>
      </c>
    </row>
    <row r="26" spans="1:13" ht="30" customHeight="1">
      <c r="A26" s="1" t="s">
        <v>139</v>
      </c>
      <c r="B26" s="4" t="s">
        <v>15</v>
      </c>
      <c r="C26" s="4" t="s">
        <v>105</v>
      </c>
      <c r="D26" s="5">
        <f t="shared" si="0"/>
        <v>1</v>
      </c>
      <c r="E26" s="6">
        <v>10324.339400000001</v>
      </c>
      <c r="F26" s="6">
        <f>E26+0.002</f>
        <v>10324.341400000001</v>
      </c>
      <c r="G26" s="7">
        <v>80.56</v>
      </c>
      <c r="H26" s="7">
        <v>0</v>
      </c>
      <c r="I26" s="7">
        <v>0</v>
      </c>
      <c r="J26" s="7"/>
      <c r="K26" s="7"/>
      <c r="L26" s="7"/>
      <c r="M26" s="4" t="s">
        <v>17</v>
      </c>
    </row>
  </sheetData>
  <mergeCells count="2">
    <mergeCell ref="C2:E2"/>
    <mergeCell ref="B3:N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Main Pro.-CHOS to ENZ</vt:lpstr>
      <vt:lpstr>Main Pro.-ENZ to CHOS</vt:lpstr>
      <vt:lpstr>HOR-ARRAY</vt:lpstr>
      <vt:lpstr>VER-ARRAY</vt:lpstr>
      <vt:lpstr>HOR_ARRAY</vt:lpstr>
      <vt:lpstr>VER_ARRAY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SUBEN</dc:creator>
  <cp:lastModifiedBy>Suben Mukem</cp:lastModifiedBy>
  <cp:lastPrinted>2023-01-11T07:05:30Z</cp:lastPrinted>
  <dcterms:created xsi:type="dcterms:W3CDTF">2021-04-25T03:32:38Z</dcterms:created>
  <dcterms:modified xsi:type="dcterms:W3CDTF">2024-04-25T03:53:03Z</dcterms:modified>
</cp:coreProperties>
</file>